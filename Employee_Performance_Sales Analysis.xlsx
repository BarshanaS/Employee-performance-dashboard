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45" activeTab="3"/>
  </bookViews>
  <sheets>
    <sheet name="Raw_Data" sheetId="1" r:id="rId1"/>
    <sheet name="Data Analysis" sheetId="5" r:id="rId2"/>
    <sheet name="Pivot Tables" sheetId="6" r:id="rId3"/>
    <sheet name="Dashboard" sheetId="7" r:id="rId4"/>
  </sheets>
  <definedNames>
    <definedName name="Slicer_Department">#N/A</definedName>
    <definedName name="Slicer_Month">#N/A</definedName>
    <definedName name="Slicer_Location">#N/A</definedName>
    <definedName name="Slicer_Employee_Nam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<sst xmlns="http://schemas.openxmlformats.org/spreadsheetml/2006/main" count="1006" uniqueCount="175">
  <si>
    <t>Employee ID</t>
  </si>
  <si>
    <t>Employee Name</t>
  </si>
  <si>
    <t>Department</t>
  </si>
  <si>
    <t>Location</t>
  </si>
  <si>
    <t>Month</t>
  </si>
  <si>
    <t>Target Sales</t>
  </si>
  <si>
    <t>Actual Sales</t>
  </si>
  <si>
    <t>Achievement %</t>
  </si>
  <si>
    <t>Sales Variance</t>
  </si>
  <si>
    <t>Orders</t>
  </si>
  <si>
    <t>Performance Status</t>
  </si>
  <si>
    <t>Attendance %</t>
  </si>
  <si>
    <t>Attendance Status</t>
  </si>
  <si>
    <t>Customer Complaints</t>
  </si>
  <si>
    <t>Rating</t>
  </si>
  <si>
    <t>E001</t>
  </si>
  <si>
    <t>Rohit Kumar</t>
  </si>
  <si>
    <t>Sales</t>
  </si>
  <si>
    <t>Chennai</t>
  </si>
  <si>
    <t>Jan-2025</t>
  </si>
  <si>
    <t>E002</t>
  </si>
  <si>
    <t>Priya S</t>
  </si>
  <si>
    <t>Marketing</t>
  </si>
  <si>
    <t>E003</t>
  </si>
  <si>
    <t>Anitha R</t>
  </si>
  <si>
    <t>Bengaluru</t>
  </si>
  <si>
    <t>E004</t>
  </si>
  <si>
    <t>Vignesh P</t>
  </si>
  <si>
    <t>IT</t>
  </si>
  <si>
    <t>E005</t>
  </si>
  <si>
    <t>Deepa K</t>
  </si>
  <si>
    <t>HR</t>
  </si>
  <si>
    <t>E006</t>
  </si>
  <si>
    <t>Karthik V</t>
  </si>
  <si>
    <t>Finance</t>
  </si>
  <si>
    <t>Hyderabad</t>
  </si>
  <si>
    <t>E007</t>
  </si>
  <si>
    <t>Meena T</t>
  </si>
  <si>
    <t>E008</t>
  </si>
  <si>
    <t>Suresh M</t>
  </si>
  <si>
    <t>E009</t>
  </si>
  <si>
    <t>Lavanya S</t>
  </si>
  <si>
    <t>Pune</t>
  </si>
  <si>
    <t>E010</t>
  </si>
  <si>
    <t>Ajay R</t>
  </si>
  <si>
    <t>E011</t>
  </si>
  <si>
    <t>Ramesh K</t>
  </si>
  <si>
    <t>E012</t>
  </si>
  <si>
    <t>Geetha P</t>
  </si>
  <si>
    <t>E013</t>
  </si>
  <si>
    <t>Arun K</t>
  </si>
  <si>
    <t>E014</t>
  </si>
  <si>
    <t>Divya K</t>
  </si>
  <si>
    <t>E015</t>
  </si>
  <si>
    <t>Harish K</t>
  </si>
  <si>
    <t>E016</t>
  </si>
  <si>
    <t>Kavya K</t>
  </si>
  <si>
    <t>E017</t>
  </si>
  <si>
    <t>Manoj K</t>
  </si>
  <si>
    <t>E018</t>
  </si>
  <si>
    <t>Nithya K</t>
  </si>
  <si>
    <t>E019</t>
  </si>
  <si>
    <t>Prakash K</t>
  </si>
  <si>
    <t>E020</t>
  </si>
  <si>
    <t>Revathi K</t>
  </si>
  <si>
    <t>E021</t>
  </si>
  <si>
    <t>Sanjay K</t>
  </si>
  <si>
    <t>E022</t>
  </si>
  <si>
    <t>Swetha K</t>
  </si>
  <si>
    <t>E023</t>
  </si>
  <si>
    <t>Vijay K</t>
  </si>
  <si>
    <t>E024</t>
  </si>
  <si>
    <t>Aishwarya K</t>
  </si>
  <si>
    <t>E025</t>
  </si>
  <si>
    <t>Dinesh K</t>
  </si>
  <si>
    <t>E026</t>
  </si>
  <si>
    <t>Keerthi K</t>
  </si>
  <si>
    <t>E027</t>
  </si>
  <si>
    <t>Mohan K</t>
  </si>
  <si>
    <t>E028</t>
  </si>
  <si>
    <t>Pooja K</t>
  </si>
  <si>
    <t>E029</t>
  </si>
  <si>
    <t>Rahul K</t>
  </si>
  <si>
    <t>E030</t>
  </si>
  <si>
    <t>Sneha K</t>
  </si>
  <si>
    <t>E031</t>
  </si>
  <si>
    <t>Varun K</t>
  </si>
  <si>
    <t>E032</t>
  </si>
  <si>
    <t>Yamini K</t>
  </si>
  <si>
    <t>E033</t>
  </si>
  <si>
    <t>Arun R</t>
  </si>
  <si>
    <t>E034</t>
  </si>
  <si>
    <t>Divya R</t>
  </si>
  <si>
    <t>E035</t>
  </si>
  <si>
    <t>Harish R</t>
  </si>
  <si>
    <t>E036</t>
  </si>
  <si>
    <t>Kavya R</t>
  </si>
  <si>
    <t>E037</t>
  </si>
  <si>
    <t>Manoj R</t>
  </si>
  <si>
    <t>E038</t>
  </si>
  <si>
    <t>Nithya R</t>
  </si>
  <si>
    <t>E039</t>
  </si>
  <si>
    <t>Prakash R</t>
  </si>
  <si>
    <t>E040</t>
  </si>
  <si>
    <t>Revathi R</t>
  </si>
  <si>
    <t>E041</t>
  </si>
  <si>
    <t>Sanjay R</t>
  </si>
  <si>
    <t>E042</t>
  </si>
  <si>
    <t>Swetha R</t>
  </si>
  <si>
    <t>E043</t>
  </si>
  <si>
    <t>Vijay R</t>
  </si>
  <si>
    <t>E044</t>
  </si>
  <si>
    <t>Aishwarya R</t>
  </si>
  <si>
    <t>E045</t>
  </si>
  <si>
    <t>Dinesh R</t>
  </si>
  <si>
    <t>E046</t>
  </si>
  <si>
    <t>Keerthi R</t>
  </si>
  <si>
    <t>E047</t>
  </si>
  <si>
    <t>Mohan R</t>
  </si>
  <si>
    <t>E048</t>
  </si>
  <si>
    <t>Pooja R</t>
  </si>
  <si>
    <t>E049</t>
  </si>
  <si>
    <t>Rahul R</t>
  </si>
  <si>
    <t>E050</t>
  </si>
  <si>
    <t>Sneha R</t>
  </si>
  <si>
    <t>E051</t>
  </si>
  <si>
    <t>Varun R</t>
  </si>
  <si>
    <t>E052</t>
  </si>
  <si>
    <t>Yamini R</t>
  </si>
  <si>
    <t>E053</t>
  </si>
  <si>
    <t>Arun S</t>
  </si>
  <si>
    <t>E054</t>
  </si>
  <si>
    <t>Divya S</t>
  </si>
  <si>
    <t>E055</t>
  </si>
  <si>
    <t>Harish S</t>
  </si>
  <si>
    <t>E056</t>
  </si>
  <si>
    <t>Kavya S</t>
  </si>
  <si>
    <t>E057</t>
  </si>
  <si>
    <t>Manoj S</t>
  </si>
  <si>
    <t>E058</t>
  </si>
  <si>
    <t>Nithya S</t>
  </si>
  <si>
    <t>E059</t>
  </si>
  <si>
    <t>Prakash S</t>
  </si>
  <si>
    <t>E060</t>
  </si>
  <si>
    <t>Revathi S</t>
  </si>
  <si>
    <t>Feb-2025</t>
  </si>
  <si>
    <t>Mar-2025</t>
  </si>
  <si>
    <t>TOTAL TARGET SALES</t>
  </si>
  <si>
    <t>DEPARTMENT</t>
  </si>
  <si>
    <t>TOTAL ACTUAL SALES</t>
  </si>
  <si>
    <t>AVERAGE ACTUAL SALES</t>
  </si>
  <si>
    <t>AVERAGE ATTENDANCE %</t>
  </si>
  <si>
    <t>AVERAGE RATING</t>
  </si>
  <si>
    <t>TOTAL ORDERS</t>
  </si>
  <si>
    <t>TOTAL CUSTOMER COMPLAINTS</t>
  </si>
  <si>
    <t>HIGHEST ACTUAL SALES</t>
  </si>
  <si>
    <t>Employee Lookup</t>
  </si>
  <si>
    <t>LOWEST ACTUAL SALES</t>
  </si>
  <si>
    <t>TOTAL EMPLOYEES</t>
  </si>
  <si>
    <t>Empoyee Name</t>
  </si>
  <si>
    <t>ACHIEVED EMPLOYEES</t>
  </si>
  <si>
    <t>NOT ACHIEVED</t>
  </si>
  <si>
    <t>GOOD ATTENDANCE EMPLOYEES</t>
  </si>
  <si>
    <t>LOW ATTENDANCE EMPLOYEES</t>
  </si>
  <si>
    <t>Sales Rank</t>
  </si>
  <si>
    <t>AVERAGE ACHIEVEMENT %</t>
  </si>
  <si>
    <t>AVERAGE SALES VARIANCE</t>
  </si>
  <si>
    <t>Department  wise Sales</t>
  </si>
  <si>
    <t>Department  wise Performance</t>
  </si>
  <si>
    <t>Department  wise Attendance</t>
  </si>
  <si>
    <t>Monthly Sales Trends</t>
  </si>
  <si>
    <t>Sum of Actual Sales</t>
  </si>
  <si>
    <t>Average of Achievement %</t>
  </si>
  <si>
    <t>Average of Attendance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</si>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</sst>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0_ "/>
    <numFmt numFmtId="182" formatCode="0.0_ "/>
    <numFmt numFmtId="183" formatCode="0_);[Red]\(0\)"/>
    <numFmt numFmtId="184" formatCode="0.0&quot;%&quot;"/>
  </numFmts>
  <fonts count="21"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2"/>
      <color rgb="FFFFFFFF"/>
      <name val="Calibri"/>
      <charset val="0"/>
      <scheme val="minor"/>
    </font>
    <font>
      <sz val="11"/>
      <color indexed="8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80" fontId="0" fillId="0" borderId="2" xfId="0" applyNumberFormat="1" applyBorder="1"/>
    <xf numFmtId="181" fontId="0" fillId="0" borderId="2" xfId="0" applyNumberFormat="1" applyBorder="1"/>
    <xf numFmtId="0" fontId="0" fillId="0" borderId="5" xfId="0" applyBorder="1"/>
    <xf numFmtId="180" fontId="0" fillId="0" borderId="6" xfId="0" applyNumberFormat="1" applyBorder="1"/>
    <xf numFmtId="0" fontId="0" fillId="0" borderId="6" xfId="0" applyBorder="1"/>
    <xf numFmtId="181" fontId="0" fillId="0" borderId="6" xfId="0" applyNumberFormat="1" applyBorder="1"/>
    <xf numFmtId="0" fontId="0" fillId="0" borderId="7" xfId="0" applyBorder="1"/>
    <xf numFmtId="180" fontId="0" fillId="0" borderId="8" xfId="0" applyNumberFormat="1" applyBorder="1"/>
    <xf numFmtId="0" fontId="0" fillId="0" borderId="8" xfId="0" applyBorder="1"/>
    <xf numFmtId="181" fontId="0" fillId="0" borderId="8" xfId="0" applyNumberFormat="1" applyBorder="1"/>
    <xf numFmtId="0" fontId="0" fillId="0" borderId="9" xfId="0" applyBorder="1" applyAlignment="1">
      <alignment horizontal="center"/>
    </xf>
    <xf numFmtId="180" fontId="0" fillId="0" borderId="9" xfId="0" applyNumberFormat="1" applyBorder="1" applyAlignment="1">
      <alignment horizontal="center"/>
    </xf>
    <xf numFmtId="181" fontId="0" fillId="0" borderId="9" xfId="0" applyNumberFormat="1" applyBorder="1" applyAlignment="1">
      <alignment horizontal="center"/>
    </xf>
    <xf numFmtId="182" fontId="0" fillId="0" borderId="9" xfId="0" applyNumberFormat="1" applyBorder="1" applyAlignment="1">
      <alignment horizontal="center"/>
    </xf>
    <xf numFmtId="183" fontId="0" fillId="0" borderId="9" xfId="0" applyNumberFormat="1" applyBorder="1" applyAlignment="1">
      <alignment horizontal="center"/>
    </xf>
    <xf numFmtId="9" fontId="0" fillId="0" borderId="9" xfId="3" applyFont="1" applyBorder="1" applyAlignment="1">
      <alignment horizontal="center"/>
    </xf>
    <xf numFmtId="184" fontId="0" fillId="0" borderId="0" xfId="0" applyNumberFormat="1"/>
    <xf numFmtId="0" fontId="2" fillId="2" borderId="0" xfId="0" applyFont="1" applyFill="1" applyAlignment="1">
      <alignment horizontal="center"/>
    </xf>
    <xf numFmtId="18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9" fontId="0" fillId="0" borderId="0" xfId="3" applyNumberFormat="1" applyFont="1" applyAlignment="1">
      <alignment horizontal="center"/>
    </xf>
    <xf numFmtId="18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6">
    <dxf>
      <numFmt numFmtId="185" formatCode="&quot;₹&quot;#,##0.00_);[Red]\(&quot;₹&quot;#,##0.00\)"/>
    </dxf>
    <dxf>
      <numFmt numFmtId="186" formatCode="&quot;₹&quot;#,##0.0_);[Red]\(&quot;₹&quot;#,##0.0\)"/>
    </dxf>
    <dxf>
      <numFmt numFmtId="180" formatCode="&quot;₹&quot;#,##0_);[Red]\(&quot;₹&quot;#,##0\)"/>
    </dxf>
    <dxf>
      <numFmt numFmtId="187" formatCode="0.0000000_ "/>
    </dxf>
    <dxf>
      <numFmt numFmtId="188" formatCode="0.000000_ "/>
    </dxf>
    <dxf>
      <numFmt numFmtId="189" formatCode="0.00000_ "/>
    </dxf>
    <dxf>
      <numFmt numFmtId="190" formatCode="0.0000_ "/>
    </dxf>
    <dxf>
      <numFmt numFmtId="191" formatCode="0.000_ "/>
    </dxf>
    <dxf>
      <numFmt numFmtId="192" formatCode="0.00_ "/>
    </dxf>
    <dxf>
      <numFmt numFmtId="182" formatCode="0.0_ "/>
    </dxf>
    <dxf>
      <numFmt numFmtId="181" formatCode="0_ "/>
    </dxf>
    <dxf>
      <numFmt numFmtId="193" formatCode="&quot;₹&quot;#,##0.00_);[Red]\(&quot;₹&quot;#,##0.00\)"/>
    </dxf>
    <dxf>
      <numFmt numFmtId="194" formatCode="&quot;₹&quot;#,##0.0_);[Red]\(&quot;₹&quot;#,##0.0\)"/>
    </dxf>
    <dxf>
      <numFmt numFmtId="180" formatCode="&quot;₹&quot;#,##0_);[Red]\(&quot;₹&quot;#,##0\)"/>
    </dxf>
    <dxf>
      <numFmt numFmtId="195" formatCode="0.0000000_ "/>
    </dxf>
    <dxf>
      <numFmt numFmtId="196" formatCode="0.000000_ "/>
    </dxf>
    <dxf>
      <numFmt numFmtId="197" formatCode="0.00000_ "/>
    </dxf>
    <dxf>
      <numFmt numFmtId="198" formatCode="0.0000_ "/>
    </dxf>
    <dxf>
      <numFmt numFmtId="199" formatCode="0.000_ "/>
    </dxf>
    <dxf>
      <numFmt numFmtId="200" formatCode="0.00_ "/>
    </dxf>
    <dxf>
      <numFmt numFmtId="182" formatCode="0.0_ "/>
    </dxf>
    <dxf>
      <numFmt numFmtId="181" formatCode="0_ "/>
    </dxf>
    <dxf>
      <numFmt numFmtId="201" formatCode="&quot;₹&quot;#,##0.00_);[Red]\(&quot;₹&quot;#,##0.00\)"/>
    </dxf>
    <dxf>
      <numFmt numFmtId="202" formatCode="&quot;₹&quot;#,##0.0_);[Red]\(&quot;₹&quot;#,##0.0\)"/>
    </dxf>
    <dxf>
      <numFmt numFmtId="180" formatCode="&quot;₹&quot;#,##0_);[Red]\(&quot;₹&quot;#,##0\)"/>
    </dxf>
    <dxf>
      <numFmt numFmtId="203" formatCode="&quot;₹&quot;#,##0.00_);[Red]\(&quot;₹&quot;#,##0.00\)"/>
    </dxf>
    <dxf>
      <numFmt numFmtId="204" formatCode="&quot;₹&quot;#,##0.0_);[Red]\(&quot;₹&quot;#,##0.0\)"/>
    </dxf>
    <dxf>
      <numFmt numFmtId="180" formatCode="&quot;₹&quot;#,##0_);[Red]\(&quot;₹&quot;#,##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&quot;₹&quot;#,##0_);[Red]\(&quot;₹&quot;#,##0\)"/>
      <alignment horizontal="center"/>
    </dxf>
    <dxf>
      <numFmt numFmtId="180" formatCode="&quot;₹&quot;#,##0_);[Red]\(&quot;₹&quot;#,##0\)"/>
      <alignment horizontal="center"/>
    </dxf>
    <dxf>
      <numFmt numFmtId="9" formatCode="0%"/>
      <alignment horizontal="center"/>
    </dxf>
    <dxf>
      <numFmt numFmtId="180" formatCode="&quot;₹&quot;#,##0_);[Red]\(&quot;₹&quot;#,##0\)"/>
      <alignment horizontal="center"/>
    </dxf>
    <dxf>
      <alignment horizontal="center"/>
    </dxf>
    <dxf>
      <numFmt numFmtId="184" formatCode="0.0&quot;%&quot;"/>
      <alignment horizontal="center"/>
    </dxf>
    <dxf>
      <numFmt numFmtId="184" formatCode="0.0&quot;%&quot;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mruColors>
      <color rgb="00FFFFFF"/>
      <color rgb="0017365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[Employee_Performance_Sales Analysis.xlsx]Pivot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Department-wise Sales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'Pivot Tables'!$B$5:$B$10</c:f>
              <c:numCache>
                <c:formatCode>"₹"#,##0_);[Red]\("₹"#,##0\)</c:formatCode>
                <c:ptCount val="5"/>
                <c:pt idx="0">
                  <c:v>2531755</c:v>
                </c:pt>
                <c:pt idx="1">
                  <c:v>1747963</c:v>
                </c:pt>
                <c:pt idx="2">
                  <c:v>1685349</c:v>
                </c:pt>
                <c:pt idx="3">
                  <c:v>1639561</c:v>
                </c:pt>
                <c:pt idx="4">
                  <c:v>1493190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8"/>
        <c:axId val="804636665"/>
        <c:axId val="462978347"/>
      </c:barChart>
      <c:catAx>
        <c:axId val="8046366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978347"/>
        <c:crosses val="autoZero"/>
        <c:auto val="1"/>
        <c:lblAlgn val="ctr"/>
        <c:lblOffset val="100"/>
        <c:noMultiLvlLbl val="0"/>
      </c:catAx>
      <c:valAx>
        <c:axId val="462978347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6366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c4ebca7-e4cb-4bbc-a410-f27c12d34e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[Employee_Performance_Sales Analysis.xlsx]Pivot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Department-wise Attendance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Tables'!$H$4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Tables'!$G$5:$G$10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Tables'!$H$5:$H$10</c:f>
              <c:numCache>
                <c:formatCode>0_ </c:formatCode>
                <c:ptCount val="5"/>
                <c:pt idx="0">
                  <c:v>93.9666666666667</c:v>
                </c:pt>
                <c:pt idx="1">
                  <c:v>93.8333333333333</c:v>
                </c:pt>
                <c:pt idx="2">
                  <c:v>94.5055555555555</c:v>
                </c:pt>
                <c:pt idx="3">
                  <c:v>94.58</c:v>
                </c:pt>
                <c:pt idx="4">
                  <c:v>93.853488372093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6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76d11e-236e-42b8-98b5-3e2e741397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[Employee_Performance_Sales Analysis.xlsx]Pivot Tables!PivotTable5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en-IN" altLang="zh-CN"/>
              <a:t>Monthly Sales Trend</a:t>
            </a:r>
            <a:endParaRPr lang="en-IN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Tables'!$K$4</c:f>
              <c:strCache>
                <c:ptCount val="1"/>
                <c:pt idx="0">
                  <c:v>Total</c:v>
                </c:pt>
              </c:strCache>
            </c:strRef>
          </c:tx>
          <c:spPr>
            <a:ln w="92075" cap="flat">
              <a:gradFill>
                <a:gsLst>
                  <a:gs pos="0">
                    <a:srgbClr val="92D05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6000000" scaled="0"/>
              </a:gradFill>
              <a:round/>
            </a:ln>
            <a:effectLst/>
            <a:sp3d contourW="92075"/>
          </c:spPr>
          <c:marker>
            <c:symbol val="none"/>
          </c:marker>
          <c:dLbls>
            <c:dLbl>
              <c:idx val="1"/>
              <c:layout>
                <c:manualLayout>
                  <c:x val="0.0157894736842105"/>
                  <c:y val="-0.0416666666666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Tables'!$J$5:$J$8</c:f>
              <c:strCache>
                <c:ptCount val="3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</c:strCache>
            </c:strRef>
          </c:cat>
          <c:val>
            <c:numRef>
              <c:f>'Pivot Tables'!$K$5:$K$8</c:f>
              <c:numCache>
                <c:formatCode>"₹"#,##0_);[Red]\("₹"#,##0\)</c:formatCode>
                <c:ptCount val="3"/>
                <c:pt idx="0">
                  <c:v>2963291</c:v>
                </c:pt>
                <c:pt idx="1">
                  <c:v>3079847</c:v>
                </c:pt>
                <c:pt idx="2">
                  <c:v>3054680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52648249"/>
        <c:axId val="192143254"/>
      </c:lineChart>
      <c:catAx>
        <c:axId val="952648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92143254"/>
        <c:crosses val="autoZero"/>
        <c:auto val="1"/>
        <c:lblAlgn val="ctr"/>
        <c:lblOffset val="100"/>
        <c:noMultiLvlLbl val="0"/>
      </c:catAx>
      <c:valAx>
        <c:axId val="192143254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9526482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2cc162-921f-4728-b2ca-25da6904d8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[Employee_Performance_Sales Analysis.xlsx]Pivot 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Department wise Performance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gradFill>
                <a:gsLst>
                  <a:gs pos="68000">
                    <a:srgbClr val="92D050"/>
                  </a:gs>
                  <a:gs pos="26000">
                    <a:srgbClr val="00B0F0"/>
                  </a:gs>
                  <a:gs pos="29000">
                    <a:srgbClr val="92D050"/>
                  </a:gs>
                  <a:gs pos="85000">
                    <a:srgbClr val="00B05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B050"/>
                  </a:gs>
                </a:gsLst>
                <a:lin ang="16200000" scaled="1"/>
                <a:tileRect r="-100000" b="-100000"/>
              </a:gra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Tables'!$D$5:$D$10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  <c:pt idx="4">
                  <c:v>Marketing</c:v>
                </c:pt>
              </c:strCache>
            </c:strRef>
          </c:cat>
          <c:val>
            <c:numRef>
              <c:f>'Pivot Tables'!$E$5:$E$10</c:f>
              <c:numCache>
                <c:formatCode>General</c:formatCode>
                <c:ptCount val="5"/>
                <c:pt idx="0">
                  <c:v>0.90018846733892</c:v>
                </c:pt>
                <c:pt idx="1">
                  <c:v>0.905982213504434</c:v>
                </c:pt>
                <c:pt idx="2">
                  <c:v>0.906857368232256</c:v>
                </c:pt>
                <c:pt idx="3">
                  <c:v>0.932648402346616</c:v>
                </c:pt>
                <c:pt idx="4">
                  <c:v>0.938555889386661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0"/>
        <c:axId val="185853085"/>
        <c:axId val="116864653"/>
      </c:barChart>
      <c:catAx>
        <c:axId val="18585308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864653"/>
        <c:crosses val="autoZero"/>
        <c:auto val="1"/>
        <c:lblAlgn val="ctr"/>
        <c:lblOffset val="100"/>
        <c:noMultiLvlLbl val="0"/>
      </c:catAx>
      <c:valAx>
        <c:axId val="116864653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8530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4fd062-3d23-4ca0-ad04-37d6dc778d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[Employee_Performance_Sales Analysis.xlsx]Pivot Tables!PivotTable6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10 Employees By Sales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gradFill>
                <a:gsLst>
                  <a:gs pos="73000">
                    <a:srgbClr val="92D050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Tables'!$A$14:$A$24</c:f>
              <c:strCache>
                <c:ptCount val="10"/>
                <c:pt idx="0">
                  <c:v>Manoj K</c:v>
                </c:pt>
                <c:pt idx="1">
                  <c:v>Arun K</c:v>
                </c:pt>
                <c:pt idx="2">
                  <c:v>Nithya S</c:v>
                </c:pt>
                <c:pt idx="3">
                  <c:v>Meena T</c:v>
                </c:pt>
                <c:pt idx="4">
                  <c:v>Rohit Kumar</c:v>
                </c:pt>
                <c:pt idx="5">
                  <c:v>Arun S</c:v>
                </c:pt>
                <c:pt idx="6">
                  <c:v>Geetha P</c:v>
                </c:pt>
                <c:pt idx="7">
                  <c:v>Nithya K</c:v>
                </c:pt>
                <c:pt idx="8">
                  <c:v>Nithya R</c:v>
                </c:pt>
                <c:pt idx="9">
                  <c:v>Vijay R</c:v>
                </c:pt>
              </c:strCache>
            </c:strRef>
          </c:cat>
          <c:val>
            <c:numRef>
              <c:f>'Pivot Tables'!$B$14:$B$24</c:f>
              <c:numCache>
                <c:formatCode>"₹"#,##0_);[Red]\("₹"#,##0\)</c:formatCode>
                <c:ptCount val="10"/>
                <c:pt idx="0">
                  <c:v>173154</c:v>
                </c:pt>
                <c:pt idx="1">
                  <c:v>176263</c:v>
                </c:pt>
                <c:pt idx="2">
                  <c:v>177925</c:v>
                </c:pt>
                <c:pt idx="3">
                  <c:v>179010</c:v>
                </c:pt>
                <c:pt idx="4">
                  <c:v>179279</c:v>
                </c:pt>
                <c:pt idx="5">
                  <c:v>182732</c:v>
                </c:pt>
                <c:pt idx="6">
                  <c:v>183407</c:v>
                </c:pt>
                <c:pt idx="7">
                  <c:v>192163</c:v>
                </c:pt>
                <c:pt idx="8">
                  <c:v>195009</c:v>
                </c:pt>
                <c:pt idx="9">
                  <c:v>200233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1"/>
        <c:overlap val="0"/>
        <c:axId val="916250530"/>
        <c:axId val="743154765"/>
      </c:barChart>
      <c:catAx>
        <c:axId val="9162505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3154765"/>
        <c:crosses val="autoZero"/>
        <c:auto val="1"/>
        <c:lblAlgn val="ctr"/>
        <c:lblOffset val="100"/>
        <c:noMultiLvlLbl val="0"/>
      </c:catAx>
      <c:valAx>
        <c:axId val="743154765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2505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7ac2b3-5fce-4248-8f69-7d622fec61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[Employee_Performance_Sales Analysis.xlsx]Pivot Tables!PivotTable4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Location-wise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">
                  <a:srgbClr val="92D050"/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5400000" scaled="0"/>
            </a:gradFill>
            <a:ln w="38100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dir="2700000" algn="tl" rotWithShape="0">
                <a:srgbClr val="236F6D">
                  <a:alpha val="40000"/>
                </a:srgbClr>
              </a:outerShdw>
            </a:effectLst>
          </c:spPr>
          <c:dLbls>
            <c:dLbl>
              <c:idx val="0"/>
              <c:layout>
                <c:manualLayout>
                  <c:x val="0.0729869447121703"/>
                  <c:y val="-0.3826933676281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2975134759172"/>
                  <c:y val="-0.01076949800243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Tables'!$D$15:$D$19</c:f>
              <c:strCache>
                <c:ptCount val="4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Pune</c:v>
                </c:pt>
              </c:strCache>
            </c:strRef>
          </c:cat>
          <c:val>
            <c:numRef>
              <c:f>'Pivot Tables'!$E$15:$E$19</c:f>
              <c:numCache>
                <c:formatCode>"₹"#,##0_);[Red]\("₹"#,##0\)</c:formatCode>
                <c:ptCount val="4"/>
                <c:pt idx="0">
                  <c:v>2181533</c:v>
                </c:pt>
                <c:pt idx="1">
                  <c:v>2636839</c:v>
                </c:pt>
                <c:pt idx="2">
                  <c:v>2275725</c:v>
                </c:pt>
                <c:pt idx="3">
                  <c:v>2003721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7915532"/>
        <c:axId val="183770397"/>
      </c:areaChart>
      <c:catAx>
        <c:axId val="3479155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83770397"/>
        <c:crosses val="autoZero"/>
        <c:auto val="1"/>
        <c:lblAlgn val="ctr"/>
        <c:lblOffset val="100"/>
        <c:noMultiLvlLbl val="0"/>
      </c:catAx>
      <c:valAx>
        <c:axId val="183770397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3479155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812271e-3d61-42f2-888d-c75e2d82287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jpeg"/><Relationship Id="rId8" Type="http://schemas.openxmlformats.org/officeDocument/2006/relationships/image" Target="../media/image2.jpeg"/><Relationship Id="rId7" Type="http://schemas.openxmlformats.org/officeDocument/2006/relationships/image" Target="../media/image1.jpe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4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28</xdr:col>
      <xdr:colOff>205105</xdr:colOff>
      <xdr:row>45</xdr:row>
      <xdr:rowOff>99695</xdr:rowOff>
    </xdr:to>
    <xdr:sp>
      <xdr:nvSpPr>
        <xdr:cNvPr id="2" name="Rounded Rectangle 1"/>
        <xdr:cNvSpPr/>
      </xdr:nvSpPr>
      <xdr:spPr>
        <a:xfrm>
          <a:off x="9525" y="9525"/>
          <a:ext cx="17264380" cy="8662670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0</xdr:row>
      <xdr:rowOff>47625</xdr:rowOff>
    </xdr:from>
    <xdr:to>
      <xdr:col>28</xdr:col>
      <xdr:colOff>144780</xdr:colOff>
      <xdr:row>4</xdr:row>
      <xdr:rowOff>67310</xdr:rowOff>
    </xdr:to>
    <xdr:sp>
      <xdr:nvSpPr>
        <xdr:cNvPr id="3" name="Rounded Rectangle 2"/>
        <xdr:cNvSpPr/>
      </xdr:nvSpPr>
      <xdr:spPr>
        <a:xfrm>
          <a:off x="19050" y="47625"/>
          <a:ext cx="17194530" cy="78168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4</xdr:row>
      <xdr:rowOff>180975</xdr:rowOff>
    </xdr:from>
    <xdr:to>
      <xdr:col>5</xdr:col>
      <xdr:colOff>350520</xdr:colOff>
      <xdr:row>9</xdr:row>
      <xdr:rowOff>95250</xdr:rowOff>
    </xdr:to>
    <xdr:sp>
      <xdr:nvSpPr>
        <xdr:cNvPr id="4" name="Rounded Rectangle 3"/>
        <xdr:cNvSpPr/>
      </xdr:nvSpPr>
      <xdr:spPr>
        <a:xfrm>
          <a:off x="85725" y="942975"/>
          <a:ext cx="3312795" cy="8667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5</xdr:col>
      <xdr:colOff>426720</xdr:colOff>
      <xdr:row>4</xdr:row>
      <xdr:rowOff>180975</xdr:rowOff>
    </xdr:from>
    <xdr:to>
      <xdr:col>10</xdr:col>
      <xdr:colOff>276860</xdr:colOff>
      <xdr:row>9</xdr:row>
      <xdr:rowOff>95250</xdr:rowOff>
    </xdr:to>
    <xdr:sp>
      <xdr:nvSpPr>
        <xdr:cNvPr id="5" name="Rounded Rectangle 4"/>
        <xdr:cNvSpPr/>
      </xdr:nvSpPr>
      <xdr:spPr>
        <a:xfrm>
          <a:off x="3474720" y="942975"/>
          <a:ext cx="2898140" cy="8667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10</xdr:col>
      <xdr:colOff>403860</xdr:colOff>
      <xdr:row>5</xdr:row>
      <xdr:rowOff>0</xdr:rowOff>
    </xdr:from>
    <xdr:to>
      <xdr:col>15</xdr:col>
      <xdr:colOff>477520</xdr:colOff>
      <xdr:row>9</xdr:row>
      <xdr:rowOff>104775</xdr:rowOff>
    </xdr:to>
    <xdr:sp>
      <xdr:nvSpPr>
        <xdr:cNvPr id="6" name="Rounded Rectangle 5"/>
        <xdr:cNvSpPr/>
      </xdr:nvSpPr>
      <xdr:spPr>
        <a:xfrm>
          <a:off x="6499860" y="952500"/>
          <a:ext cx="3121660" cy="866775"/>
        </a:xfrm>
        <a:prstGeom prst="roundRect">
          <a:avLst/>
        </a:prstGeom>
        <a:solidFill>
          <a:srgbClr val="92D050"/>
        </a:solidFill>
        <a:ln>
          <a:solidFill>
            <a:schemeClr val="accent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15</xdr:col>
      <xdr:colOff>596900</xdr:colOff>
      <xdr:row>5</xdr:row>
      <xdr:rowOff>9525</xdr:rowOff>
    </xdr:from>
    <xdr:to>
      <xdr:col>21</xdr:col>
      <xdr:colOff>95250</xdr:colOff>
      <xdr:row>9</xdr:row>
      <xdr:rowOff>133350</xdr:rowOff>
    </xdr:to>
    <xdr:sp>
      <xdr:nvSpPr>
        <xdr:cNvPr id="9" name="Rounded Rectangle 8"/>
        <xdr:cNvSpPr/>
      </xdr:nvSpPr>
      <xdr:spPr>
        <a:xfrm>
          <a:off x="9740900" y="962025"/>
          <a:ext cx="3155950" cy="88582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0</xdr:col>
      <xdr:colOff>104775</xdr:colOff>
      <xdr:row>10</xdr:row>
      <xdr:rowOff>0</xdr:rowOff>
    </xdr:from>
    <xdr:to>
      <xdr:col>8</xdr:col>
      <xdr:colOff>26035</xdr:colOff>
      <xdr:row>21</xdr:row>
      <xdr:rowOff>86360</xdr:rowOff>
    </xdr:to>
    <xdr:graphicFrame>
      <xdr:nvGraphicFramePr>
        <xdr:cNvPr id="10" name="Chart 9"/>
        <xdr:cNvGraphicFramePr/>
      </xdr:nvGraphicFramePr>
      <xdr:xfrm>
        <a:off x="104775" y="1905000"/>
        <a:ext cx="4798060" cy="2181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10</xdr:row>
      <xdr:rowOff>11430</xdr:rowOff>
    </xdr:from>
    <xdr:to>
      <xdr:col>16</xdr:col>
      <xdr:colOff>26035</xdr:colOff>
      <xdr:row>21</xdr:row>
      <xdr:rowOff>104140</xdr:rowOff>
    </xdr:to>
    <xdr:graphicFrame>
      <xdr:nvGraphicFramePr>
        <xdr:cNvPr id="11" name="Chart 10"/>
        <xdr:cNvGraphicFramePr/>
      </xdr:nvGraphicFramePr>
      <xdr:xfrm>
        <a:off x="4981575" y="1916430"/>
        <a:ext cx="4798060" cy="2188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21</xdr:row>
      <xdr:rowOff>142875</xdr:rowOff>
    </xdr:from>
    <xdr:to>
      <xdr:col>8</xdr:col>
      <xdr:colOff>34925</xdr:colOff>
      <xdr:row>34</xdr:row>
      <xdr:rowOff>104775</xdr:rowOff>
    </xdr:to>
    <xdr:graphicFrame>
      <xdr:nvGraphicFramePr>
        <xdr:cNvPr id="12" name="Chart 11" descr="7b0a202020202263686172745265734964223a20223230343731343133220a7d0a"/>
        <xdr:cNvGraphicFramePr/>
      </xdr:nvGraphicFramePr>
      <xdr:xfrm>
        <a:off x="85725" y="4143375"/>
        <a:ext cx="4826000" cy="24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118745</xdr:colOff>
      <xdr:row>21</xdr:row>
      <xdr:rowOff>156210</xdr:rowOff>
    </xdr:from>
    <xdr:to>
      <xdr:col>16</xdr:col>
      <xdr:colOff>67945</xdr:colOff>
      <xdr:row>34</xdr:row>
      <xdr:rowOff>113030</xdr:rowOff>
    </xdr:to>
    <xdr:graphicFrame>
      <xdr:nvGraphicFramePr>
        <xdr:cNvPr id="13" name="Chart 12"/>
        <xdr:cNvGraphicFramePr/>
      </xdr:nvGraphicFramePr>
      <xdr:xfrm>
        <a:off x="4995545" y="4156710"/>
        <a:ext cx="4826000" cy="24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87630</xdr:colOff>
      <xdr:row>34</xdr:row>
      <xdr:rowOff>164465</xdr:rowOff>
    </xdr:from>
    <xdr:to>
      <xdr:col>16</xdr:col>
      <xdr:colOff>53975</xdr:colOff>
      <xdr:row>45</xdr:row>
      <xdr:rowOff>52705</xdr:rowOff>
    </xdr:to>
    <xdr:graphicFrame>
      <xdr:nvGraphicFramePr>
        <xdr:cNvPr id="14" name="Chart 13"/>
        <xdr:cNvGraphicFramePr/>
      </xdr:nvGraphicFramePr>
      <xdr:xfrm>
        <a:off x="87630" y="6641465"/>
        <a:ext cx="9719945" cy="1983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323850</xdr:colOff>
      <xdr:row>0</xdr:row>
      <xdr:rowOff>127000</xdr:rowOff>
    </xdr:from>
    <xdr:to>
      <xdr:col>23</xdr:col>
      <xdr:colOff>392430</xdr:colOff>
      <xdr:row>3</xdr:row>
      <xdr:rowOff>167005</xdr:rowOff>
    </xdr:to>
    <xdr:sp>
      <xdr:nvSpPr>
        <xdr:cNvPr id="15" name="Text Box 14"/>
        <xdr:cNvSpPr txBox="1"/>
      </xdr:nvSpPr>
      <xdr:spPr>
        <a:xfrm>
          <a:off x="2152650" y="127000"/>
          <a:ext cx="12260580" cy="61150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IN" altLang="en-US" sz="3600" b="1">
              <a:sym typeface="+mn-ea"/>
            </a:rPr>
            <a:t> </a:t>
          </a:r>
          <a:r>
            <a:rPr lang="en-IN" altLang="en-US" sz="3200" b="1">
              <a:solidFill>
                <a:sysClr val="windowText" lastClr="000000"/>
              </a:solidFill>
              <a:sym typeface="+mn-ea"/>
            </a:rPr>
            <a:t>Employee Performance &amp; Sales Analysis</a:t>
          </a:r>
          <a:endParaRPr lang="en-IN" altLang="en-US" sz="3200" b="1">
            <a:solidFill>
              <a:sysClr val="windowText" lastClr="000000"/>
            </a:solidFill>
          </a:endParaRPr>
        </a:p>
        <a:p>
          <a:pPr algn="ctr"/>
          <a:endParaRPr lang="en-IN" altLang="en-US" sz="3200" b="1"/>
        </a:p>
        <a:p>
          <a:pPr algn="ctr"/>
          <a:endParaRPr lang="en-IN" altLang="en-US" sz="3600" b="1"/>
        </a:p>
        <a:p>
          <a:pPr algn="ctr"/>
          <a:endParaRPr lang="en-IN" altLang="en-US" sz="3200" b="1"/>
        </a:p>
      </xdr:txBody>
    </xdr:sp>
    <xdr:clientData/>
  </xdr:twoCellAnchor>
  <xdr:twoCellAnchor>
    <xdr:from>
      <xdr:col>2</xdr:col>
      <xdr:colOff>569595</xdr:colOff>
      <xdr:row>5</xdr:row>
      <xdr:rowOff>98425</xdr:rowOff>
    </xdr:from>
    <xdr:to>
      <xdr:col>5</xdr:col>
      <xdr:colOff>230505</xdr:colOff>
      <xdr:row>7</xdr:row>
      <xdr:rowOff>3810</xdr:rowOff>
    </xdr:to>
    <xdr:sp>
      <xdr:nvSpPr>
        <xdr:cNvPr id="16" name="Text Box 15"/>
        <xdr:cNvSpPr txBox="1"/>
      </xdr:nvSpPr>
      <xdr:spPr>
        <a:xfrm>
          <a:off x="1788795" y="1050925"/>
          <a:ext cx="1489710" cy="28638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400" b="1"/>
            <a:t>TOTAL SALES</a:t>
          </a:r>
          <a:endParaRPr lang="en-IN" altLang="en-US" sz="1400" b="1"/>
        </a:p>
      </xdr:txBody>
    </xdr:sp>
    <xdr:clientData/>
  </xdr:twoCellAnchor>
  <xdr:twoCellAnchor>
    <xdr:from>
      <xdr:col>7</xdr:col>
      <xdr:colOff>492760</xdr:colOff>
      <xdr:row>5</xdr:row>
      <xdr:rowOff>75565</xdr:rowOff>
    </xdr:from>
    <xdr:to>
      <xdr:col>10</xdr:col>
      <xdr:colOff>156845</xdr:colOff>
      <xdr:row>6</xdr:row>
      <xdr:rowOff>153670</xdr:rowOff>
    </xdr:to>
    <xdr:sp>
      <xdr:nvSpPr>
        <xdr:cNvPr id="17" name="Text Box 16"/>
        <xdr:cNvSpPr txBox="1"/>
      </xdr:nvSpPr>
      <xdr:spPr>
        <a:xfrm>
          <a:off x="4759960" y="1028065"/>
          <a:ext cx="1492885" cy="26860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400" b="1"/>
            <a:t>TOTAL ORDERS</a:t>
          </a:r>
          <a:endParaRPr lang="en-IN" altLang="en-US" sz="1400" b="1"/>
        </a:p>
      </xdr:txBody>
    </xdr:sp>
    <xdr:clientData/>
  </xdr:twoCellAnchor>
  <xdr:twoCellAnchor>
    <xdr:from>
      <xdr:col>13</xdr:col>
      <xdr:colOff>66040</xdr:colOff>
      <xdr:row>5</xdr:row>
      <xdr:rowOff>98425</xdr:rowOff>
    </xdr:from>
    <xdr:to>
      <xdr:col>15</xdr:col>
      <xdr:colOff>339725</xdr:colOff>
      <xdr:row>6</xdr:row>
      <xdr:rowOff>176530</xdr:rowOff>
    </xdr:to>
    <xdr:sp>
      <xdr:nvSpPr>
        <xdr:cNvPr id="18" name="Text Box 17"/>
        <xdr:cNvSpPr txBox="1"/>
      </xdr:nvSpPr>
      <xdr:spPr>
        <a:xfrm>
          <a:off x="7990840" y="1050925"/>
          <a:ext cx="1492885" cy="26860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400" b="1"/>
            <a:t>AVERAGE SALES</a:t>
          </a:r>
          <a:endParaRPr lang="en-IN" altLang="en-US" sz="1400" b="1"/>
        </a:p>
      </xdr:txBody>
    </xdr:sp>
    <xdr:clientData/>
  </xdr:twoCellAnchor>
  <xdr:twoCellAnchor>
    <xdr:from>
      <xdr:col>18</xdr:col>
      <xdr:colOff>104775</xdr:colOff>
      <xdr:row>5</xdr:row>
      <xdr:rowOff>94615</xdr:rowOff>
    </xdr:from>
    <xdr:to>
      <xdr:col>20</xdr:col>
      <xdr:colOff>520700</xdr:colOff>
      <xdr:row>7</xdr:row>
      <xdr:rowOff>8255</xdr:rowOff>
    </xdr:to>
    <xdr:sp>
      <xdr:nvSpPr>
        <xdr:cNvPr id="19" name="Text Box 18"/>
        <xdr:cNvSpPr txBox="1"/>
      </xdr:nvSpPr>
      <xdr:spPr>
        <a:xfrm>
          <a:off x="11077575" y="1047115"/>
          <a:ext cx="1635125" cy="29464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400" b="1"/>
            <a:t>AVERAGE RATINGS</a:t>
          </a:r>
          <a:endParaRPr lang="en-IN" altLang="en-US" sz="1400" b="1"/>
        </a:p>
      </xdr:txBody>
    </xdr:sp>
    <xdr:clientData/>
  </xdr:twoCellAnchor>
  <xdr:twoCellAnchor>
    <xdr:from>
      <xdr:col>2</xdr:col>
      <xdr:colOff>557530</xdr:colOff>
      <xdr:row>6</xdr:row>
      <xdr:rowOff>151765</xdr:rowOff>
    </xdr:from>
    <xdr:to>
      <xdr:col>5</xdr:col>
      <xdr:colOff>257175</xdr:colOff>
      <xdr:row>9</xdr:row>
      <xdr:rowOff>13970</xdr:rowOff>
    </xdr:to>
    <xdr:sp textlink="'Data Analysis'!$B$2">
      <xdr:nvSpPr>
        <xdr:cNvPr id="20" name="Text Box 19"/>
        <xdr:cNvSpPr txBox="1"/>
      </xdr:nvSpPr>
      <xdr:spPr>
        <a:xfrm>
          <a:off x="1776730" y="1294765"/>
          <a:ext cx="1528445" cy="43370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IN" altLang="en-US" sz="2000" b="1"/>
            <a:t>₹90,97,818 </a:t>
          </a:fld>
          <a:endParaRPr lang="en-IN" altLang="en-US" sz="2000" b="1"/>
        </a:p>
      </xdr:txBody>
    </xdr:sp>
    <xdr:clientData/>
  </xdr:twoCellAnchor>
  <xdr:twoCellAnchor>
    <xdr:from>
      <xdr:col>7</xdr:col>
      <xdr:colOff>451485</xdr:colOff>
      <xdr:row>6</xdr:row>
      <xdr:rowOff>142875</xdr:rowOff>
    </xdr:from>
    <xdr:to>
      <xdr:col>10</xdr:col>
      <xdr:colOff>151765</xdr:colOff>
      <xdr:row>8</xdr:row>
      <xdr:rowOff>153670</xdr:rowOff>
    </xdr:to>
    <xdr:sp textlink="'Data Analysis'!$B$6">
      <xdr:nvSpPr>
        <xdr:cNvPr id="21" name="Text Box 20"/>
        <xdr:cNvSpPr txBox="1"/>
      </xdr:nvSpPr>
      <xdr:spPr>
        <a:xfrm>
          <a:off x="4718685" y="1285875"/>
          <a:ext cx="1529080" cy="39179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IN" altLang="en-US" sz="2400" b="1"/>
            <a:t>3633 </a:t>
          </a:fld>
          <a:endParaRPr lang="en-IN" altLang="en-US" sz="2400" b="1"/>
        </a:p>
      </xdr:txBody>
    </xdr:sp>
    <xdr:clientData/>
  </xdr:twoCellAnchor>
  <xdr:twoCellAnchor>
    <xdr:from>
      <xdr:col>13</xdr:col>
      <xdr:colOff>38735</xdr:colOff>
      <xdr:row>6</xdr:row>
      <xdr:rowOff>163830</xdr:rowOff>
    </xdr:from>
    <xdr:to>
      <xdr:col>15</xdr:col>
      <xdr:colOff>347345</xdr:colOff>
      <xdr:row>9</xdr:row>
      <xdr:rowOff>46990</xdr:rowOff>
    </xdr:to>
    <xdr:sp textlink="'Data Analysis'!$B$3">
      <xdr:nvSpPr>
        <xdr:cNvPr id="22" name="Text Box 21"/>
        <xdr:cNvSpPr txBox="1"/>
      </xdr:nvSpPr>
      <xdr:spPr>
        <a:xfrm>
          <a:off x="7963535" y="1306830"/>
          <a:ext cx="1527810" cy="45466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IN" altLang="en-US" sz="2400" b="1"/>
            <a:t>₹50,543 </a:t>
          </a:fld>
          <a:endParaRPr lang="en-IN" altLang="en-US" sz="2400" b="1"/>
        </a:p>
      </xdr:txBody>
    </xdr:sp>
    <xdr:clientData/>
  </xdr:twoCellAnchor>
  <xdr:twoCellAnchor>
    <xdr:from>
      <xdr:col>18</xdr:col>
      <xdr:colOff>86995</xdr:colOff>
      <xdr:row>6</xdr:row>
      <xdr:rowOff>158750</xdr:rowOff>
    </xdr:from>
    <xdr:to>
      <xdr:col>20</xdr:col>
      <xdr:colOff>396240</xdr:colOff>
      <xdr:row>8</xdr:row>
      <xdr:rowOff>120015</xdr:rowOff>
    </xdr:to>
    <xdr:sp textlink="'Data Analysis'!$B$5">
      <xdr:nvSpPr>
        <xdr:cNvPr id="23" name="Text Box 22"/>
        <xdr:cNvSpPr txBox="1"/>
      </xdr:nvSpPr>
      <xdr:spPr>
        <a:xfrm>
          <a:off x="11059795" y="1301750"/>
          <a:ext cx="1528445" cy="3422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IN" altLang="en-US" sz="2400" b="1"/>
            <a:t>4.1 </a:t>
          </a:fld>
          <a:endParaRPr lang="en-IN" altLang="en-US" sz="2400" b="1"/>
        </a:p>
      </xdr:txBody>
    </xdr:sp>
    <xdr:clientData/>
  </xdr:twoCellAnchor>
  <xdr:twoCellAnchor editAs="oneCell">
    <xdr:from>
      <xdr:col>11</xdr:col>
      <xdr:colOff>112395</xdr:colOff>
      <xdr:row>5</xdr:row>
      <xdr:rowOff>100330</xdr:rowOff>
    </xdr:from>
    <xdr:to>
      <xdr:col>12</xdr:col>
      <xdr:colOff>367030</xdr:colOff>
      <xdr:row>9</xdr:row>
      <xdr:rowOff>26670</xdr:rowOff>
    </xdr:to>
    <xdr:pic>
      <xdr:nvPicPr>
        <xdr:cNvPr id="24" name="Picture 23" descr="WhatsApp Image 2026-10-05 at 2.57.46 PM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17995" y="1052830"/>
          <a:ext cx="864235" cy="68834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5</xdr:row>
      <xdr:rowOff>84455</xdr:rowOff>
    </xdr:from>
    <xdr:to>
      <xdr:col>2</xdr:col>
      <xdr:colOff>154305</xdr:colOff>
      <xdr:row>9</xdr:row>
      <xdr:rowOff>16510</xdr:rowOff>
    </xdr:to>
    <xdr:pic>
      <xdr:nvPicPr>
        <xdr:cNvPr id="25" name="Picture 24" descr="WhatsApp Image 2026-10-05 at 2.57.47 PM 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42900" y="1036955"/>
          <a:ext cx="1030605" cy="694055"/>
        </a:xfrm>
        <a:prstGeom prst="rect">
          <a:avLst/>
        </a:prstGeom>
      </xdr:spPr>
    </xdr:pic>
    <xdr:clientData/>
  </xdr:twoCellAnchor>
  <xdr:twoCellAnchor editAs="oneCell">
    <xdr:from>
      <xdr:col>5</xdr:col>
      <xdr:colOff>544195</xdr:colOff>
      <xdr:row>5</xdr:row>
      <xdr:rowOff>123825</xdr:rowOff>
    </xdr:from>
    <xdr:to>
      <xdr:col>7</xdr:col>
      <xdr:colOff>155575</xdr:colOff>
      <xdr:row>8</xdr:row>
      <xdr:rowOff>161290</xdr:rowOff>
    </xdr:to>
    <xdr:pic>
      <xdr:nvPicPr>
        <xdr:cNvPr id="26" name="Picture 25" descr="WhatsApp Image 2026-10-05 at 2.57.47 PM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592195" y="1076325"/>
          <a:ext cx="830580" cy="608965"/>
        </a:xfrm>
        <a:prstGeom prst="rect">
          <a:avLst/>
        </a:prstGeom>
      </xdr:spPr>
    </xdr:pic>
    <xdr:clientData/>
  </xdr:twoCellAnchor>
  <xdr:twoCellAnchor editAs="oneCell">
    <xdr:from>
      <xdr:col>16</xdr:col>
      <xdr:colOff>231140</xdr:colOff>
      <xdr:row>5</xdr:row>
      <xdr:rowOff>139065</xdr:rowOff>
    </xdr:from>
    <xdr:to>
      <xdr:col>17</xdr:col>
      <xdr:colOff>421640</xdr:colOff>
      <xdr:row>9</xdr:row>
      <xdr:rowOff>17145</xdr:rowOff>
    </xdr:to>
    <xdr:pic>
      <xdr:nvPicPr>
        <xdr:cNvPr id="27" name="Picture 26" descr="WhatsApp Image 2026-10-05 at 2.59.12 PM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84740" y="1091565"/>
          <a:ext cx="800100" cy="640080"/>
        </a:xfrm>
        <a:prstGeom prst="rect">
          <a:avLst/>
        </a:prstGeom>
        <a:solidFill>
          <a:srgbClr val="92D050"/>
        </a:solidFill>
      </xdr:spPr>
    </xdr:pic>
    <xdr:clientData/>
  </xdr:twoCellAnchor>
  <xdr:twoCellAnchor editAs="oneCell">
    <xdr:from>
      <xdr:col>16</xdr:col>
      <xdr:colOff>101600</xdr:colOff>
      <xdr:row>10</xdr:row>
      <xdr:rowOff>10795</xdr:rowOff>
    </xdr:from>
    <xdr:to>
      <xdr:col>21</xdr:col>
      <xdr:colOff>127635</xdr:colOff>
      <xdr:row>19</xdr:row>
      <xdr:rowOff>37465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5200" y="1915795"/>
              <a:ext cx="3074035" cy="1741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137795</xdr:colOff>
      <xdr:row>19</xdr:row>
      <xdr:rowOff>89535</xdr:rowOff>
    </xdr:from>
    <xdr:to>
      <xdr:col>21</xdr:col>
      <xdr:colOff>158750</xdr:colOff>
      <xdr:row>26</xdr:row>
      <xdr:rowOff>24130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1395" y="3709035"/>
              <a:ext cx="3068955" cy="1268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135255</xdr:colOff>
      <xdr:row>26</xdr:row>
      <xdr:rowOff>92075</xdr:rowOff>
    </xdr:from>
    <xdr:to>
      <xdr:col>28</xdr:col>
      <xdr:colOff>80010</xdr:colOff>
      <xdr:row>45</xdr:row>
      <xdr:rowOff>29210</xdr:rowOff>
    </xdr:to>
    <xdr:graphicFrame>
      <xdr:nvGraphicFramePr>
        <xdr:cNvPr id="28" name="Chart 27" descr="7b0a202020202263686172745265734964223a202233303738363032220a7d0a"/>
        <xdr:cNvGraphicFramePr/>
      </xdr:nvGraphicFramePr>
      <xdr:xfrm>
        <a:off x="9888855" y="5045075"/>
        <a:ext cx="7259955" cy="3556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203835</xdr:colOff>
      <xdr:row>4</xdr:row>
      <xdr:rowOff>170180</xdr:rowOff>
    </xdr:from>
    <xdr:to>
      <xdr:col>28</xdr:col>
      <xdr:colOff>57150</xdr:colOff>
      <xdr:row>13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5435" y="932180"/>
              <a:ext cx="4120515" cy="1626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247650</xdr:colOff>
      <xdr:row>13</xdr:row>
      <xdr:rowOff>156210</xdr:rowOff>
    </xdr:from>
    <xdr:to>
      <xdr:col>28</xdr:col>
      <xdr:colOff>55245</xdr:colOff>
      <xdr:row>26</xdr:row>
      <xdr:rowOff>1905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Employe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e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9250" y="2632710"/>
              <a:ext cx="4074795" cy="2322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300.4893518519" refreshedBy="acer" recordCount="180">
  <cacheSource type="worksheet">
    <worksheetSource name="RawDataTable"/>
  </cacheSource>
  <cacheFields count="15">
    <cacheField name="Employee ID" numFmtId="0">
      <sharedItems count="6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</sharedItems>
    </cacheField>
    <cacheField name="Employee Name" numFmtId="0">
      <sharedItems count="60">
        <s v="Rohit Kumar"/>
        <s v="Priya S"/>
        <s v="Anitha R"/>
        <s v="Vignesh P"/>
        <s v="Deepa K"/>
        <s v="Karthik V"/>
        <s v="Meena T"/>
        <s v="Suresh M"/>
        <s v="Lavanya S"/>
        <s v="Ajay R"/>
        <s v="Ramesh K"/>
        <s v="Geetha P"/>
        <s v="Arun K"/>
        <s v="Divya K"/>
        <s v="Harish K"/>
        <s v="Kavya K"/>
        <s v="Manoj K"/>
        <s v="Nithya K"/>
        <s v="Prakash K"/>
        <s v="Revathi K"/>
        <s v="Sanjay K"/>
        <s v="Swetha K"/>
        <s v="Vijay K"/>
        <s v="Aishwarya K"/>
        <s v="Dinesh K"/>
        <s v="Keerthi K"/>
        <s v="Mohan K"/>
        <s v="Pooja K"/>
        <s v="Rahul K"/>
        <s v="Sneha K"/>
        <s v="Varun K"/>
        <s v="Yamini K"/>
        <s v="Arun R"/>
        <s v="Divya R"/>
        <s v="Harish R"/>
        <s v="Kavya R"/>
        <s v="Manoj R"/>
        <s v="Nithya R"/>
        <s v="Prakash R"/>
        <s v="Revathi R"/>
        <s v="Sanjay R"/>
        <s v="Swetha R"/>
        <s v="Vijay R"/>
        <s v="Aishwarya R"/>
        <s v="Dinesh R"/>
        <s v="Keerthi R"/>
        <s v="Mohan R"/>
        <s v="Pooja R"/>
        <s v="Rahul R"/>
        <s v="Sneha R"/>
        <s v="Varun R"/>
        <s v="Yamini R"/>
        <s v="Arun S"/>
        <s v="Divya S"/>
        <s v="Harish S"/>
        <s v="Kavya S"/>
        <s v="Manoj S"/>
        <s v="Nithya S"/>
        <s v="Prakash S"/>
        <s v="Revathi S"/>
      </sharedItems>
    </cacheField>
    <cacheField name="Department" numFmtId="0">
      <sharedItems count="5">
        <s v="Sales"/>
        <s v="Marketing"/>
        <s v="IT"/>
        <s v="HR"/>
        <s v="Finance"/>
      </sharedItems>
    </cacheField>
    <cacheField name="Location" numFmtId="0">
      <sharedItems count="4">
        <s v="Chennai"/>
        <s v="Bengaluru"/>
        <s v="Hyderabad"/>
        <s v="Pune"/>
      </sharedItems>
    </cacheField>
    <cacheField name="Month" numFmtId="0">
      <sharedItems count="3">
        <s v="Jan-2025"/>
        <s v="Feb-2025"/>
        <s v="Mar-2025"/>
      </sharedItems>
    </cacheField>
    <cacheField name="Target Sales" numFmtId="0">
      <sharedItems containsSemiMixedTypes="0" containsString="0" containsNumber="1" containsInteger="1" minValue="41344" maxValue="66692" count="180">
        <n v="63476"/>
        <n v="57135"/>
        <n v="56811"/>
        <n v="49873"/>
        <n v="43615"/>
        <n v="48674"/>
        <n v="53711"/>
        <n v="49803"/>
        <n v="44139"/>
        <n v="48654"/>
        <n v="44432"/>
        <n v="64946"/>
        <n v="62125"/>
        <n v="45525"/>
        <n v="54762"/>
        <n v="43340"/>
        <n v="54019"/>
        <n v="61085"/>
        <n v="56149"/>
        <n v="47119"/>
        <n v="53302"/>
        <n v="47053"/>
        <n v="54743"/>
        <n v="51126"/>
        <n v="52813"/>
        <n v="54218"/>
        <n v="58991"/>
        <n v="63809"/>
        <n v="48470"/>
        <n v="49118"/>
        <n v="41344"/>
        <n v="47964"/>
        <n v="63960"/>
        <n v="52744"/>
        <n v="50062"/>
        <n v="51587"/>
        <n v="50139"/>
        <n v="54235"/>
        <n v="45241"/>
        <n v="49570"/>
        <n v="53846"/>
        <n v="56105"/>
        <n v="62489"/>
        <n v="53238"/>
        <n v="46044"/>
        <n v="50333"/>
        <n v="56260"/>
        <n v="59484"/>
        <n v="46188"/>
        <n v="46492"/>
        <n v="47054"/>
        <n v="60223"/>
        <n v="54697"/>
        <n v="47546"/>
        <n v="56974"/>
        <n v="51392"/>
        <n v="51291"/>
        <n v="54232"/>
        <n v="47426"/>
        <n v="43653"/>
        <n v="62173"/>
        <n v="48878"/>
        <n v="58442"/>
        <n v="47371"/>
        <n v="44269"/>
        <n v="50652"/>
        <n v="65670"/>
        <n v="50425"/>
        <n v="47349"/>
        <n v="56932"/>
        <n v="52612"/>
        <n v="65156"/>
        <n v="58409"/>
        <n v="50067"/>
        <n v="49888"/>
        <n v="45930"/>
        <n v="56939"/>
        <n v="66004"/>
        <n v="55145"/>
        <n v="43400"/>
        <n v="51318"/>
        <n v="47090"/>
        <n v="64401"/>
        <n v="47184"/>
        <n v="55374"/>
        <n v="49976"/>
        <n v="51050"/>
        <n v="57499"/>
        <n v="46320"/>
        <n v="49797"/>
        <n v="47381"/>
        <n v="56432"/>
        <n v="66692"/>
        <n v="49471"/>
        <n v="54864"/>
        <n v="47455"/>
        <n v="54564"/>
        <n v="65471"/>
        <n v="46341"/>
        <n v="44124"/>
        <n v="54749"/>
        <n v="50571"/>
        <n v="65254"/>
        <n v="50111"/>
        <n v="54315"/>
        <n v="50837"/>
        <n v="53071"/>
        <n v="54729"/>
        <n v="52135"/>
        <n v="51817"/>
        <n v="54954"/>
        <n v="56336"/>
        <n v="60988"/>
        <n v="49526"/>
        <n v="51004"/>
        <n v="53991"/>
        <n v="56528"/>
        <n v="58419"/>
        <n v="48155"/>
        <n v="55101"/>
        <n v="54647"/>
        <n v="53751"/>
        <n v="55068"/>
        <n v="50843"/>
        <n v="42869"/>
        <n v="49485"/>
        <n v="62143"/>
        <n v="51232"/>
        <n v="52316"/>
        <n v="57248"/>
        <n v="43564"/>
        <n v="57720"/>
        <n v="65963"/>
        <n v="48683"/>
        <n v="48039"/>
        <n v="45982"/>
        <n v="47653"/>
        <n v="64047"/>
        <n v="58458"/>
        <n v="50245"/>
        <n v="42494"/>
        <n v="52403"/>
        <n v="62012"/>
        <n v="51622"/>
        <n v="46073"/>
        <n v="44335"/>
        <n v="48989"/>
        <n v="62024"/>
        <n v="52560"/>
        <n v="51337"/>
        <n v="50031"/>
        <n v="48143"/>
        <n v="53042"/>
        <n v="47434"/>
        <n v="50460"/>
        <n v="53706"/>
        <n v="53325"/>
        <n v="61229"/>
        <n v="53617"/>
        <n v="45529"/>
        <n v="54955"/>
        <n v="58775"/>
        <n v="63340"/>
        <n v="46612"/>
        <n v="43753"/>
        <n v="49702"/>
        <n v="53267"/>
        <n v="63451"/>
        <n v="49712"/>
        <n v="47901"/>
        <n v="47302"/>
        <n v="58456"/>
        <n v="65751"/>
        <n v="49689"/>
        <n v="53172"/>
        <n v="51280"/>
        <n v="49153"/>
        <n v="65886"/>
        <n v="49210"/>
        <n v="56176"/>
      </sharedItems>
    </cacheField>
    <cacheField name="Actual Sales" numFmtId="0">
      <sharedItems containsSemiMixedTypes="0" containsString="0" containsNumber="1" containsInteger="1" minValue="31420" maxValue="74884" count="180">
        <n v="48953"/>
        <n v="64586"/>
        <n v="54110"/>
        <n v="40966"/>
        <n v="45410"/>
        <n v="37122"/>
        <n v="56701"/>
        <n v="54859"/>
        <n v="32710"/>
        <n v="43538"/>
        <n v="45689"/>
        <n v="54075"/>
        <n v="51006"/>
        <n v="49637"/>
        <n v="47356"/>
        <n v="36486"/>
        <n v="61203"/>
        <n v="46536"/>
        <n v="51331"/>
        <n v="54974"/>
        <n v="44920"/>
        <n v="54523"/>
        <n v="61336"/>
        <n v="54743"/>
        <n v="45900"/>
        <n v="46706"/>
        <n v="55661"/>
        <n v="59893"/>
        <n v="55610"/>
        <n v="45264"/>
        <n v="40956"/>
        <n v="39585"/>
        <n v="60333"/>
        <n v="43871"/>
        <n v="44204"/>
        <n v="39478"/>
        <n v="40487"/>
        <n v="50104"/>
        <n v="52739"/>
        <n v="56268"/>
        <n v="58216"/>
        <n v="57477"/>
        <n v="66141"/>
        <n v="60847"/>
        <n v="34603"/>
        <n v="41940"/>
        <n v="54037"/>
        <n v="46410"/>
        <n v="33453"/>
        <n v="44293"/>
        <n v="40047"/>
        <n v="61477"/>
        <n v="63006"/>
        <n v="40190"/>
        <n v="47940"/>
        <n v="47016"/>
        <n v="40742"/>
        <n v="62623"/>
        <n v="43523"/>
        <n v="49481"/>
        <n v="70050"/>
        <n v="54632"/>
        <n v="63111"/>
        <n v="37576"/>
        <n v="48502"/>
        <n v="37021"/>
        <n v="55714"/>
        <n v="58092"/>
        <n v="34925"/>
        <n v="66767"/>
        <n v="48434"/>
        <n v="69003"/>
        <n v="58798"/>
        <n v="51407"/>
        <n v="51178"/>
        <n v="41649"/>
        <n v="58144"/>
        <n v="74884"/>
        <n v="48207"/>
        <n v="32171"/>
        <n v="50538"/>
        <n v="53241"/>
        <n v="61713"/>
        <n v="51367"/>
        <n v="62576"/>
        <n v="46234"/>
        <n v="56479"/>
        <n v="53034"/>
        <n v="36299"/>
        <n v="45191"/>
        <n v="53836"/>
        <n v="50505"/>
        <n v="60873"/>
        <n v="45537"/>
        <n v="43667"/>
        <n v="47088"/>
        <n v="43847"/>
        <n v="73631"/>
        <n v="43391"/>
        <n v="47626"/>
        <n v="39933"/>
        <n v="47229"/>
        <n v="68546"/>
        <n v="49353"/>
        <n v="59859"/>
        <n v="55440"/>
        <n v="39895"/>
        <n v="50319"/>
        <n v="41761"/>
        <n v="55772"/>
        <n v="45773"/>
        <n v="56378"/>
        <n v="49862"/>
        <n v="48321"/>
        <n v="49748"/>
        <n v="39302"/>
        <n v="50296"/>
        <n v="51516"/>
        <n v="41661"/>
        <n v="51945"/>
        <n v="60276"/>
        <n v="41831"/>
        <n v="55807"/>
        <n v="46909"/>
        <n v="47078"/>
        <n v="39025"/>
        <n v="66595"/>
        <n v="47504"/>
        <n v="52613"/>
        <n v="46776"/>
        <n v="31420"/>
        <n v="60329"/>
        <n v="66459"/>
        <n v="49555"/>
        <n v="47737"/>
        <n v="47908"/>
        <n v="53807"/>
        <n v="70743"/>
        <n v="49337"/>
        <n v="57349"/>
        <n v="39783"/>
        <n v="47653"/>
        <n v="45695"/>
        <n v="57706"/>
        <n v="44160"/>
        <n v="37368"/>
        <n v="35923"/>
        <n v="45047"/>
        <n v="60741"/>
        <n v="53621"/>
        <n v="39351"/>
        <n v="40781"/>
        <n v="45091"/>
        <n v="43896"/>
        <n v="57984"/>
        <n v="48816"/>
        <n v="62639"/>
        <n v="71274"/>
        <n v="61059"/>
        <n v="34348"/>
        <n v="47874"/>
        <n v="66311"/>
        <n v="65546"/>
        <n v="49864"/>
        <n v="38031"/>
        <n v="45206"/>
        <n v="53537"/>
        <n v="53098"/>
        <n v="51288"/>
        <n v="48567"/>
        <n v="52625"/>
        <n v="50027"/>
        <n v="69864"/>
        <n v="53507"/>
        <n v="44414"/>
        <n v="52168"/>
        <n v="37428"/>
        <n v="63786"/>
        <n v="56122"/>
        <n v="43423"/>
      </sharedItems>
    </cacheField>
    <cacheField name="Achievement %" numFmtId="9">
      <sharedItems containsSemiMixedTypes="0" containsString="0" containsNumber="1" minValue="0.721237719217703" maxValue="1" count="105">
        <n v="0.771204864830802"/>
        <n v="1"/>
        <n v="0.952456390487758"/>
        <n v="0.821406372185351"/>
        <n v="0.762665899658956"/>
        <n v="0.741067989759623"/>
        <n v="0.894849344349899"/>
        <n v="0.832614787669756"/>
        <n v="0.821022132796781"/>
        <n v="0.864760235199591"/>
        <n v="0.841855099215505"/>
        <n v="0.761823688303184"/>
        <n v="0.914192594703379"/>
        <n v="0.842745112753743"/>
        <n v="0.86910419783008"/>
        <n v="0.861448227525914"/>
        <n v="0.943550711125426"/>
        <n v="0.938629346957326"/>
        <n v="0.921535893155259"/>
        <n v="0.990615325077399"/>
        <n v="0.825306479859895"/>
        <n v="0.943292682926829"/>
        <n v="0.831772334293948"/>
        <n v="0.882985098477887"/>
        <n v="0.765270320041871"/>
        <n v="0.807495163445621"/>
        <n v="0.923831474140315"/>
        <n v="0.751520284944835"/>
        <n v="0.833250551328155"/>
        <n v="0.960487024528973"/>
        <n v="0.780209804317127"/>
        <n v="0.724279033515199"/>
        <n v="0.952701540049901"/>
        <n v="0.851085986313597"/>
        <n v="0.845286669751399"/>
        <n v="0.841436444694071"/>
        <n v="0.914850560398506"/>
        <n v="0.794330389347059"/>
        <n v="0.91770336945979"/>
        <n v="0.793227924257457"/>
        <n v="0.730889204769802"/>
        <n v="0.848393482564337"/>
        <n v="0.737607974825234"/>
        <n v="0.920588458906713"/>
        <n v="0.906792945787067"/>
        <n v="0.874186236286155"/>
        <n v="0.741267281105991"/>
        <n v="0.984800654741027"/>
        <n v="0.958261517678297"/>
        <n v="0.925124059548583"/>
        <n v="0.92234647559088"/>
        <n v="0.783657167530225"/>
        <n v="0.907504468140651"/>
        <n v="0.894970938474624"/>
        <n v="0.912748155700834"/>
        <n v="0.920478664267955"/>
        <n v="0.795913531641878"/>
        <n v="0.992266357601939"/>
        <n v="0.803588446594824"/>
        <n v="0.936341468677845"/>
        <n v="0.729383185081006"/>
        <n v="0.933914694192324"/>
        <n v="0.984873580650955"/>
        <n v="0.751728816114262"/>
        <n v="0.919421147837527"/>
        <n v="0.801016591541191"/>
        <n v="0.832932998507843"/>
        <n v="0.817570669639929"/>
        <n v="0.975669345394338"/>
        <n v="0.975374480432907"/>
        <n v="0.727936137504399"/>
        <n v="0.889753750353807"/>
        <n v="0.881836388846095"/>
        <n v="0.865143806458312"/>
        <n v="0.942723362552404"/>
        <n v="0.77823668396867"/>
        <n v="0.922624550085558"/>
        <n v="0.788622814994443"/>
        <n v="0.927232979387883"/>
        <n v="0.817076579094466"/>
        <n v="0.721237719217703"/>
        <n v="0.993713441162389"/>
        <n v="0.843973451024667"/>
        <n v="0.936202758036429"/>
        <n v="0.909356334560998"/>
        <n v="0.736873508353222"/>
        <n v="0.958478935602197"/>
        <n v="0.842855531746927"/>
        <n v="0.733287064443038"/>
        <n v="0.726283374177738"/>
        <n v="0.786532349943035"/>
        <n v="0.847080572461209"/>
        <n v="0.850099920817466"/>
        <n v="0.9254121516212"/>
        <n v="0.908948720813317"/>
        <n v="0.754420259614751"/>
        <n v="0.871149122008916"/>
        <n v="0.869220396315681"/>
        <n v="0.909540863546739"/>
        <n v="0.836834722857008"/>
        <n v="0.855806076365129"/>
        <n v="0.835289249981193"/>
        <n v="0.761459117449596"/>
        <n v="0.968126764411256"/>
        <n v="0.77298134434634"/>
      </sharedItems>
    </cacheField>
    <cacheField name="Sales Variance" numFmtId="0">
      <sharedItems containsSemiMixedTypes="0" containsString="0" containsNumber="1" containsInteger="1" minValue="-16977" maxValue="10045" count="179">
        <n v="-14523"/>
        <n v="7451"/>
        <n v="-2701"/>
        <n v="-8907"/>
        <n v="1795"/>
        <n v="-11552"/>
        <n v="2990"/>
        <n v="5056"/>
        <n v="-11429"/>
        <n v="-5116"/>
        <n v="1257"/>
        <n v="-10871"/>
        <n v="-11119"/>
        <n v="4112"/>
        <n v="-7406"/>
        <n v="-6854"/>
        <n v="7184"/>
        <n v="-14549"/>
        <n v="-4818"/>
        <n v="7855"/>
        <n v="-8382"/>
        <n v="7470"/>
        <n v="6593"/>
        <n v="3617"/>
        <n v="-6913"/>
        <n v="-7512"/>
        <n v="-3330"/>
        <n v="-3916"/>
        <n v="7140"/>
        <n v="-3854"/>
        <n v="-388"/>
        <n v="-8379"/>
        <n v="-3627"/>
        <n v="-8873"/>
        <n v="-5858"/>
        <n v="-12109"/>
        <n v="-9652"/>
        <n v="-4131"/>
        <n v="7498"/>
        <n v="6698"/>
        <n v="4370"/>
        <n v="1372"/>
        <n v="3652"/>
        <n v="7609"/>
        <n v="-11441"/>
        <n v="-8393"/>
        <n v="-2223"/>
        <n v="-13074"/>
        <n v="-12735"/>
        <n v="-2199"/>
        <n v="-7007"/>
        <n v="1254"/>
        <n v="8309"/>
        <n v="-7356"/>
        <n v="-9034"/>
        <n v="-4376"/>
        <n v="-10549"/>
        <n v="8391"/>
        <n v="-3903"/>
        <n v="5828"/>
        <n v="7877"/>
        <n v="5754"/>
        <n v="4669"/>
        <n v="-9795"/>
        <n v="4233"/>
        <n v="-13631"/>
        <n v="-9956"/>
        <n v="7667"/>
        <n v="-12424"/>
        <n v="9835"/>
        <n v="-4178"/>
        <n v="3847"/>
        <n v="389"/>
        <n v="1340"/>
        <n v="1290"/>
        <n v="-4281"/>
        <n v="1205"/>
        <n v="8880"/>
        <n v="-6938"/>
        <n v="-11229"/>
        <n v="-780"/>
        <n v="6151"/>
        <n v="-2688"/>
        <n v="4183"/>
        <n v="7202"/>
        <n v="-3742"/>
        <n v="5429"/>
        <n v="-4465"/>
        <n v="-10021"/>
        <n v="-4606"/>
        <n v="6455"/>
        <n v="-5927"/>
        <n v="-5819"/>
        <n v="-3934"/>
        <n v="-11197"/>
        <n v="-367"/>
        <n v="-10717"/>
        <n v="8160"/>
        <n v="-2950"/>
        <n v="3502"/>
        <n v="-14816"/>
        <n v="-3342"/>
        <n v="3292"/>
        <n v="-758"/>
        <n v="5544"/>
        <n v="4603"/>
        <n v="-13176"/>
        <n v="-4410"/>
        <n v="-10374"/>
        <n v="3955"/>
        <n v="-9181"/>
        <n v="42"/>
        <n v="-11126"/>
        <n v="-1205"/>
        <n v="-1256"/>
        <n v="-14689"/>
        <n v="-6232"/>
        <n v="-6903"/>
        <n v="-6494"/>
        <n v="-3156"/>
        <n v="5629"/>
        <n v="-11920"/>
        <n v="739"/>
        <n v="4209"/>
        <n v="-10460"/>
        <n v="4452"/>
        <n v="-3728"/>
        <n v="297"/>
        <n v="-10472"/>
        <n v="-12144"/>
        <n v="2609"/>
        <n v="496"/>
        <n v="872"/>
        <n v="-302"/>
        <n v="1926"/>
        <n v="6154"/>
        <n v="6696"/>
        <n v="-9121"/>
        <n v="7104"/>
        <n v="-2711"/>
        <n v="-4750"/>
        <n v="-16317"/>
        <n v="6084"/>
        <n v="-1913"/>
        <n v="-6967"/>
        <n v="-13066"/>
        <n v="-16977"/>
        <n v="8181"/>
        <n v="2284"/>
        <n v="-10680"/>
        <n v="-7362"/>
        <n v="-7951"/>
        <n v="-3538"/>
        <n v="7524"/>
        <n v="-4890"/>
        <n v="9314"/>
        <n v="10045"/>
        <n v="7442"/>
        <n v="-11181"/>
        <n v="-7081"/>
        <n v="7536"/>
        <n v="2206"/>
        <n v="3252"/>
        <n v="-5722"/>
        <n v="-4496"/>
        <n v="270"/>
        <n v="-10353"/>
        <n v="1576"/>
        <n v="666"/>
        <n v="5323"/>
        <n v="-8429"/>
        <n v="4113"/>
        <n v="3818"/>
        <n v="-8758"/>
        <n v="888"/>
        <n v="-11725"/>
        <n v="-2100"/>
        <n v="6912"/>
        <n v="-12753"/>
      </sharedItems>
    </cacheField>
    <cacheField name="Orders" numFmtId="0">
      <sharedItems containsSemiMixedTypes="0" containsString="0" containsNumber="1" containsInteger="1" minValue="10" maxValue="36" count="26">
        <n v="20"/>
        <n v="32"/>
        <n v="29"/>
        <n v="13"/>
        <n v="18"/>
        <n v="19"/>
        <n v="17"/>
        <n v="14"/>
        <n v="15"/>
        <n v="23"/>
        <n v="24"/>
        <n v="26"/>
        <n v="30"/>
        <n v="25"/>
        <n v="28"/>
        <n v="21"/>
        <n v="16"/>
        <n v="34"/>
        <n v="10"/>
        <n v="33"/>
        <n v="22"/>
        <n v="11"/>
        <n v="31"/>
        <n v="27"/>
        <n v="12"/>
        <n v="36"/>
      </sharedItems>
    </cacheField>
    <cacheField name="Perfomance Status" numFmtId="0">
      <sharedItems count="2">
        <s v="Not Achieved"/>
        <s v="Achieved"/>
      </sharedItems>
    </cacheField>
    <cacheField name="Attendance %" numFmtId="0">
      <sharedItems containsSemiMixedTypes="0" containsString="0" containsNumber="1" minValue="88.3" maxValue="99" count="85">
        <n v="90.7"/>
        <n v="94.5"/>
        <n v="94.2"/>
        <n v="91.1"/>
        <n v="91.9"/>
        <n v="89.4"/>
        <n v="97.7"/>
        <n v="96.5"/>
        <n v="95"/>
        <n v="95.1"/>
        <n v="92.2"/>
        <n v="97.3"/>
        <n v="90.9"/>
        <n v="93.5"/>
        <n v="96.2"/>
        <n v="92"/>
        <n v="97.5"/>
        <n v="95.5"/>
        <n v="91.7"/>
        <n v="98.7"/>
        <n v="98.5"/>
        <n v="89.2"/>
        <n v="90.6"/>
        <n v="98.8"/>
        <n v="89.8"/>
        <n v="95.8"/>
        <n v="93"/>
        <n v="89.5"/>
        <n v="96.9"/>
        <n v="93.1"/>
        <n v="96"/>
        <n v="89.1"/>
        <n v="92.7"/>
        <n v="89.7"/>
        <n v="95.4"/>
        <n v="88.4"/>
        <n v="90.2"/>
        <n v="91.3"/>
        <n v="99"/>
        <n v="98.3"/>
        <n v="97.2"/>
        <n v="95.3"/>
        <n v="90.3"/>
        <n v="90.8"/>
        <n v="88.5"/>
        <n v="94.1"/>
        <n v="94"/>
        <n v="91.4"/>
        <n v="96.8"/>
        <n v="91.8"/>
        <n v="92.4"/>
        <n v="93.6"/>
        <n v="97.6"/>
        <n v="92.8"/>
        <n v="98.2"/>
        <n v="92.9"/>
        <n v="95.2"/>
        <n v="94.7"/>
        <n v="93.4"/>
        <n v="96.6"/>
        <n v="93.8"/>
        <n v="97"/>
        <n v="96.4"/>
        <n v="98.4"/>
        <n v="92.3"/>
        <n v="98.1"/>
        <n v="88.3"/>
        <n v="96.3"/>
        <n v="88.6"/>
        <n v="98.6"/>
        <n v="95.6"/>
        <n v="90.4"/>
        <n v="91"/>
        <n v="90.5"/>
        <n v="94.6"/>
        <n v="88.9"/>
        <n v="88.8"/>
        <n v="97.1"/>
        <n v="91.2"/>
        <n v="91.5"/>
        <n v="89"/>
        <n v="95.9"/>
        <n v="96.7"/>
        <n v="98"/>
        <n v="91.6"/>
      </sharedItems>
    </cacheField>
    <cacheField name="Attendance Status" numFmtId="0">
      <sharedItems count="2">
        <s v="Good"/>
        <s v="Low"/>
      </sharedItems>
    </cacheField>
    <cacheField name="Customer Complaints" numFmtId="0">
      <sharedItems containsSemiMixedTypes="0" containsString="0" containsNumber="1" containsInteger="1" minValue="0" maxValue="9" count="9">
        <n v="4"/>
        <n v="2"/>
        <n v="5"/>
        <n v="7"/>
        <n v="6"/>
        <n v="3"/>
        <n v="0"/>
        <n v="1"/>
        <n v="9"/>
      </sharedItems>
    </cacheField>
    <cacheField name="Rating" numFmtId="0">
      <sharedItems containsSemiMixedTypes="0" containsString="0" containsNumber="1" minValue="3.1" maxValue="5" count="20">
        <n v="4.3"/>
        <n v="4.1"/>
        <n v="3.4"/>
        <n v="3.5"/>
        <n v="4.8"/>
        <n v="4.4"/>
        <n v="4"/>
        <n v="3.9"/>
        <n v="3.8"/>
        <n v="5"/>
        <n v="3.7"/>
        <n v="4.7"/>
        <n v="3.6"/>
        <n v="4.5"/>
        <n v="4.2"/>
        <n v="4.6"/>
        <n v="3.1"/>
        <n v="3.3"/>
        <n v="4.9"/>
        <n v="3.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  <x v="1"/>
    <x v="1"/>
    <x v="0"/>
    <x v="0"/>
    <x v="1"/>
  </r>
  <r>
    <x v="2"/>
    <x v="2"/>
    <x v="0"/>
    <x v="1"/>
    <x v="0"/>
    <x v="2"/>
    <x v="2"/>
    <x v="2"/>
    <x v="2"/>
    <x v="2"/>
    <x v="0"/>
    <x v="2"/>
    <x v="0"/>
    <x v="1"/>
    <x v="2"/>
  </r>
  <r>
    <x v="3"/>
    <x v="3"/>
    <x v="2"/>
    <x v="1"/>
    <x v="0"/>
    <x v="3"/>
    <x v="3"/>
    <x v="3"/>
    <x v="3"/>
    <x v="3"/>
    <x v="0"/>
    <x v="3"/>
    <x v="0"/>
    <x v="2"/>
    <x v="3"/>
  </r>
  <r>
    <x v="4"/>
    <x v="4"/>
    <x v="3"/>
    <x v="0"/>
    <x v="0"/>
    <x v="4"/>
    <x v="4"/>
    <x v="1"/>
    <x v="4"/>
    <x v="4"/>
    <x v="1"/>
    <x v="3"/>
    <x v="0"/>
    <x v="0"/>
    <x v="4"/>
  </r>
  <r>
    <x v="5"/>
    <x v="5"/>
    <x v="4"/>
    <x v="2"/>
    <x v="0"/>
    <x v="5"/>
    <x v="5"/>
    <x v="4"/>
    <x v="5"/>
    <x v="4"/>
    <x v="0"/>
    <x v="4"/>
    <x v="0"/>
    <x v="1"/>
    <x v="5"/>
  </r>
  <r>
    <x v="6"/>
    <x v="6"/>
    <x v="0"/>
    <x v="0"/>
    <x v="0"/>
    <x v="6"/>
    <x v="6"/>
    <x v="1"/>
    <x v="6"/>
    <x v="5"/>
    <x v="1"/>
    <x v="5"/>
    <x v="1"/>
    <x v="0"/>
    <x v="6"/>
  </r>
  <r>
    <x v="7"/>
    <x v="7"/>
    <x v="1"/>
    <x v="2"/>
    <x v="0"/>
    <x v="7"/>
    <x v="7"/>
    <x v="1"/>
    <x v="7"/>
    <x v="6"/>
    <x v="1"/>
    <x v="6"/>
    <x v="0"/>
    <x v="1"/>
    <x v="0"/>
  </r>
  <r>
    <x v="8"/>
    <x v="8"/>
    <x v="2"/>
    <x v="3"/>
    <x v="0"/>
    <x v="8"/>
    <x v="8"/>
    <x v="5"/>
    <x v="8"/>
    <x v="7"/>
    <x v="0"/>
    <x v="7"/>
    <x v="0"/>
    <x v="3"/>
    <x v="6"/>
  </r>
  <r>
    <x v="9"/>
    <x v="9"/>
    <x v="4"/>
    <x v="0"/>
    <x v="0"/>
    <x v="9"/>
    <x v="9"/>
    <x v="6"/>
    <x v="9"/>
    <x v="8"/>
    <x v="0"/>
    <x v="8"/>
    <x v="0"/>
    <x v="1"/>
    <x v="5"/>
  </r>
  <r>
    <x v="10"/>
    <x v="10"/>
    <x v="3"/>
    <x v="3"/>
    <x v="0"/>
    <x v="10"/>
    <x v="10"/>
    <x v="1"/>
    <x v="10"/>
    <x v="7"/>
    <x v="1"/>
    <x v="9"/>
    <x v="0"/>
    <x v="1"/>
    <x v="7"/>
  </r>
  <r>
    <x v="11"/>
    <x v="11"/>
    <x v="0"/>
    <x v="2"/>
    <x v="0"/>
    <x v="11"/>
    <x v="11"/>
    <x v="7"/>
    <x v="11"/>
    <x v="5"/>
    <x v="0"/>
    <x v="10"/>
    <x v="0"/>
    <x v="4"/>
    <x v="1"/>
  </r>
  <r>
    <x v="12"/>
    <x v="12"/>
    <x v="0"/>
    <x v="0"/>
    <x v="0"/>
    <x v="12"/>
    <x v="12"/>
    <x v="8"/>
    <x v="12"/>
    <x v="0"/>
    <x v="0"/>
    <x v="11"/>
    <x v="0"/>
    <x v="5"/>
    <x v="8"/>
  </r>
  <r>
    <x v="13"/>
    <x v="13"/>
    <x v="1"/>
    <x v="1"/>
    <x v="0"/>
    <x v="13"/>
    <x v="13"/>
    <x v="1"/>
    <x v="13"/>
    <x v="4"/>
    <x v="1"/>
    <x v="12"/>
    <x v="0"/>
    <x v="0"/>
    <x v="9"/>
  </r>
  <r>
    <x v="14"/>
    <x v="14"/>
    <x v="2"/>
    <x v="2"/>
    <x v="0"/>
    <x v="14"/>
    <x v="14"/>
    <x v="9"/>
    <x v="14"/>
    <x v="8"/>
    <x v="0"/>
    <x v="13"/>
    <x v="0"/>
    <x v="2"/>
    <x v="10"/>
  </r>
  <r>
    <x v="15"/>
    <x v="15"/>
    <x v="3"/>
    <x v="3"/>
    <x v="0"/>
    <x v="15"/>
    <x v="15"/>
    <x v="10"/>
    <x v="15"/>
    <x v="8"/>
    <x v="0"/>
    <x v="14"/>
    <x v="0"/>
    <x v="6"/>
    <x v="7"/>
  </r>
  <r>
    <x v="16"/>
    <x v="16"/>
    <x v="4"/>
    <x v="0"/>
    <x v="0"/>
    <x v="16"/>
    <x v="16"/>
    <x v="1"/>
    <x v="16"/>
    <x v="9"/>
    <x v="1"/>
    <x v="15"/>
    <x v="0"/>
    <x v="0"/>
    <x v="1"/>
  </r>
  <r>
    <x v="17"/>
    <x v="17"/>
    <x v="0"/>
    <x v="1"/>
    <x v="0"/>
    <x v="17"/>
    <x v="17"/>
    <x v="11"/>
    <x v="17"/>
    <x v="10"/>
    <x v="0"/>
    <x v="16"/>
    <x v="0"/>
    <x v="0"/>
    <x v="0"/>
  </r>
  <r>
    <x v="18"/>
    <x v="18"/>
    <x v="1"/>
    <x v="2"/>
    <x v="0"/>
    <x v="18"/>
    <x v="18"/>
    <x v="12"/>
    <x v="18"/>
    <x v="11"/>
    <x v="0"/>
    <x v="10"/>
    <x v="0"/>
    <x v="7"/>
    <x v="8"/>
  </r>
  <r>
    <x v="19"/>
    <x v="19"/>
    <x v="2"/>
    <x v="3"/>
    <x v="0"/>
    <x v="19"/>
    <x v="19"/>
    <x v="1"/>
    <x v="19"/>
    <x v="12"/>
    <x v="1"/>
    <x v="17"/>
    <x v="0"/>
    <x v="4"/>
    <x v="11"/>
  </r>
  <r>
    <x v="20"/>
    <x v="20"/>
    <x v="3"/>
    <x v="0"/>
    <x v="0"/>
    <x v="20"/>
    <x v="20"/>
    <x v="13"/>
    <x v="20"/>
    <x v="7"/>
    <x v="0"/>
    <x v="18"/>
    <x v="0"/>
    <x v="5"/>
    <x v="5"/>
  </r>
  <r>
    <x v="21"/>
    <x v="21"/>
    <x v="4"/>
    <x v="1"/>
    <x v="0"/>
    <x v="21"/>
    <x v="21"/>
    <x v="1"/>
    <x v="21"/>
    <x v="9"/>
    <x v="1"/>
    <x v="19"/>
    <x v="0"/>
    <x v="5"/>
    <x v="12"/>
  </r>
  <r>
    <x v="22"/>
    <x v="22"/>
    <x v="0"/>
    <x v="2"/>
    <x v="0"/>
    <x v="22"/>
    <x v="22"/>
    <x v="1"/>
    <x v="22"/>
    <x v="13"/>
    <x v="1"/>
    <x v="11"/>
    <x v="0"/>
    <x v="1"/>
    <x v="1"/>
  </r>
  <r>
    <x v="23"/>
    <x v="23"/>
    <x v="1"/>
    <x v="3"/>
    <x v="0"/>
    <x v="23"/>
    <x v="23"/>
    <x v="1"/>
    <x v="23"/>
    <x v="4"/>
    <x v="1"/>
    <x v="20"/>
    <x v="0"/>
    <x v="3"/>
    <x v="12"/>
  </r>
  <r>
    <x v="24"/>
    <x v="24"/>
    <x v="2"/>
    <x v="0"/>
    <x v="0"/>
    <x v="24"/>
    <x v="24"/>
    <x v="14"/>
    <x v="24"/>
    <x v="10"/>
    <x v="0"/>
    <x v="21"/>
    <x v="1"/>
    <x v="6"/>
    <x v="9"/>
  </r>
  <r>
    <x v="25"/>
    <x v="25"/>
    <x v="3"/>
    <x v="1"/>
    <x v="0"/>
    <x v="25"/>
    <x v="25"/>
    <x v="15"/>
    <x v="25"/>
    <x v="10"/>
    <x v="0"/>
    <x v="22"/>
    <x v="0"/>
    <x v="1"/>
    <x v="6"/>
  </r>
  <r>
    <x v="26"/>
    <x v="26"/>
    <x v="4"/>
    <x v="2"/>
    <x v="0"/>
    <x v="26"/>
    <x v="26"/>
    <x v="16"/>
    <x v="26"/>
    <x v="14"/>
    <x v="0"/>
    <x v="23"/>
    <x v="0"/>
    <x v="1"/>
    <x v="1"/>
  </r>
  <r>
    <x v="27"/>
    <x v="27"/>
    <x v="0"/>
    <x v="3"/>
    <x v="0"/>
    <x v="27"/>
    <x v="27"/>
    <x v="17"/>
    <x v="27"/>
    <x v="0"/>
    <x v="0"/>
    <x v="24"/>
    <x v="1"/>
    <x v="6"/>
    <x v="6"/>
  </r>
  <r>
    <x v="28"/>
    <x v="28"/>
    <x v="1"/>
    <x v="0"/>
    <x v="0"/>
    <x v="28"/>
    <x v="28"/>
    <x v="1"/>
    <x v="28"/>
    <x v="13"/>
    <x v="1"/>
    <x v="25"/>
    <x v="0"/>
    <x v="7"/>
    <x v="13"/>
  </r>
  <r>
    <x v="29"/>
    <x v="29"/>
    <x v="2"/>
    <x v="1"/>
    <x v="0"/>
    <x v="29"/>
    <x v="29"/>
    <x v="18"/>
    <x v="29"/>
    <x v="8"/>
    <x v="0"/>
    <x v="26"/>
    <x v="0"/>
    <x v="5"/>
    <x v="0"/>
  </r>
  <r>
    <x v="30"/>
    <x v="30"/>
    <x v="3"/>
    <x v="2"/>
    <x v="0"/>
    <x v="30"/>
    <x v="30"/>
    <x v="19"/>
    <x v="30"/>
    <x v="4"/>
    <x v="0"/>
    <x v="1"/>
    <x v="0"/>
    <x v="4"/>
    <x v="1"/>
  </r>
  <r>
    <x v="31"/>
    <x v="31"/>
    <x v="4"/>
    <x v="3"/>
    <x v="0"/>
    <x v="31"/>
    <x v="31"/>
    <x v="20"/>
    <x v="31"/>
    <x v="15"/>
    <x v="0"/>
    <x v="16"/>
    <x v="0"/>
    <x v="0"/>
    <x v="14"/>
  </r>
  <r>
    <x v="32"/>
    <x v="32"/>
    <x v="0"/>
    <x v="0"/>
    <x v="0"/>
    <x v="32"/>
    <x v="32"/>
    <x v="21"/>
    <x v="32"/>
    <x v="0"/>
    <x v="0"/>
    <x v="27"/>
    <x v="1"/>
    <x v="2"/>
    <x v="7"/>
  </r>
  <r>
    <x v="33"/>
    <x v="33"/>
    <x v="1"/>
    <x v="1"/>
    <x v="0"/>
    <x v="33"/>
    <x v="33"/>
    <x v="22"/>
    <x v="33"/>
    <x v="8"/>
    <x v="0"/>
    <x v="28"/>
    <x v="0"/>
    <x v="5"/>
    <x v="0"/>
  </r>
  <r>
    <x v="34"/>
    <x v="34"/>
    <x v="2"/>
    <x v="2"/>
    <x v="0"/>
    <x v="34"/>
    <x v="34"/>
    <x v="23"/>
    <x v="34"/>
    <x v="16"/>
    <x v="0"/>
    <x v="29"/>
    <x v="0"/>
    <x v="5"/>
    <x v="2"/>
  </r>
  <r>
    <x v="35"/>
    <x v="35"/>
    <x v="3"/>
    <x v="3"/>
    <x v="0"/>
    <x v="35"/>
    <x v="35"/>
    <x v="24"/>
    <x v="35"/>
    <x v="8"/>
    <x v="0"/>
    <x v="30"/>
    <x v="0"/>
    <x v="5"/>
    <x v="7"/>
  </r>
  <r>
    <x v="36"/>
    <x v="36"/>
    <x v="4"/>
    <x v="0"/>
    <x v="0"/>
    <x v="36"/>
    <x v="36"/>
    <x v="25"/>
    <x v="36"/>
    <x v="7"/>
    <x v="0"/>
    <x v="27"/>
    <x v="1"/>
    <x v="0"/>
    <x v="15"/>
  </r>
  <r>
    <x v="37"/>
    <x v="37"/>
    <x v="0"/>
    <x v="1"/>
    <x v="0"/>
    <x v="37"/>
    <x v="37"/>
    <x v="26"/>
    <x v="37"/>
    <x v="6"/>
    <x v="0"/>
    <x v="31"/>
    <x v="1"/>
    <x v="1"/>
    <x v="12"/>
  </r>
  <r>
    <x v="38"/>
    <x v="38"/>
    <x v="1"/>
    <x v="2"/>
    <x v="0"/>
    <x v="38"/>
    <x v="38"/>
    <x v="1"/>
    <x v="38"/>
    <x v="9"/>
    <x v="1"/>
    <x v="24"/>
    <x v="1"/>
    <x v="1"/>
    <x v="1"/>
  </r>
  <r>
    <x v="39"/>
    <x v="39"/>
    <x v="2"/>
    <x v="3"/>
    <x v="0"/>
    <x v="39"/>
    <x v="39"/>
    <x v="1"/>
    <x v="39"/>
    <x v="11"/>
    <x v="1"/>
    <x v="10"/>
    <x v="0"/>
    <x v="2"/>
    <x v="1"/>
  </r>
  <r>
    <x v="40"/>
    <x v="40"/>
    <x v="3"/>
    <x v="0"/>
    <x v="0"/>
    <x v="40"/>
    <x v="40"/>
    <x v="1"/>
    <x v="40"/>
    <x v="10"/>
    <x v="1"/>
    <x v="32"/>
    <x v="0"/>
    <x v="8"/>
    <x v="10"/>
  </r>
  <r>
    <x v="41"/>
    <x v="41"/>
    <x v="4"/>
    <x v="1"/>
    <x v="0"/>
    <x v="41"/>
    <x v="41"/>
    <x v="1"/>
    <x v="41"/>
    <x v="0"/>
    <x v="1"/>
    <x v="33"/>
    <x v="1"/>
    <x v="7"/>
    <x v="9"/>
  </r>
  <r>
    <x v="42"/>
    <x v="42"/>
    <x v="0"/>
    <x v="2"/>
    <x v="0"/>
    <x v="42"/>
    <x v="42"/>
    <x v="1"/>
    <x v="42"/>
    <x v="17"/>
    <x v="1"/>
    <x v="14"/>
    <x v="0"/>
    <x v="2"/>
    <x v="0"/>
  </r>
  <r>
    <x v="43"/>
    <x v="43"/>
    <x v="1"/>
    <x v="3"/>
    <x v="0"/>
    <x v="43"/>
    <x v="43"/>
    <x v="1"/>
    <x v="43"/>
    <x v="15"/>
    <x v="1"/>
    <x v="33"/>
    <x v="1"/>
    <x v="0"/>
    <x v="1"/>
  </r>
  <r>
    <x v="44"/>
    <x v="44"/>
    <x v="2"/>
    <x v="0"/>
    <x v="0"/>
    <x v="44"/>
    <x v="44"/>
    <x v="27"/>
    <x v="44"/>
    <x v="6"/>
    <x v="0"/>
    <x v="34"/>
    <x v="0"/>
    <x v="5"/>
    <x v="0"/>
  </r>
  <r>
    <x v="45"/>
    <x v="45"/>
    <x v="3"/>
    <x v="1"/>
    <x v="0"/>
    <x v="45"/>
    <x v="45"/>
    <x v="28"/>
    <x v="45"/>
    <x v="3"/>
    <x v="0"/>
    <x v="35"/>
    <x v="1"/>
    <x v="4"/>
    <x v="5"/>
  </r>
  <r>
    <x v="46"/>
    <x v="46"/>
    <x v="4"/>
    <x v="2"/>
    <x v="0"/>
    <x v="46"/>
    <x v="46"/>
    <x v="29"/>
    <x v="46"/>
    <x v="9"/>
    <x v="0"/>
    <x v="36"/>
    <x v="0"/>
    <x v="5"/>
    <x v="8"/>
  </r>
  <r>
    <x v="47"/>
    <x v="47"/>
    <x v="0"/>
    <x v="3"/>
    <x v="0"/>
    <x v="47"/>
    <x v="47"/>
    <x v="30"/>
    <x v="47"/>
    <x v="7"/>
    <x v="0"/>
    <x v="37"/>
    <x v="0"/>
    <x v="1"/>
    <x v="4"/>
  </r>
  <r>
    <x v="48"/>
    <x v="48"/>
    <x v="1"/>
    <x v="0"/>
    <x v="0"/>
    <x v="48"/>
    <x v="48"/>
    <x v="31"/>
    <x v="48"/>
    <x v="18"/>
    <x v="0"/>
    <x v="38"/>
    <x v="0"/>
    <x v="0"/>
    <x v="1"/>
  </r>
  <r>
    <x v="49"/>
    <x v="49"/>
    <x v="2"/>
    <x v="1"/>
    <x v="0"/>
    <x v="49"/>
    <x v="49"/>
    <x v="32"/>
    <x v="49"/>
    <x v="15"/>
    <x v="0"/>
    <x v="39"/>
    <x v="0"/>
    <x v="4"/>
    <x v="3"/>
  </r>
  <r>
    <x v="50"/>
    <x v="50"/>
    <x v="3"/>
    <x v="2"/>
    <x v="0"/>
    <x v="50"/>
    <x v="50"/>
    <x v="33"/>
    <x v="50"/>
    <x v="7"/>
    <x v="0"/>
    <x v="40"/>
    <x v="0"/>
    <x v="1"/>
    <x v="3"/>
  </r>
  <r>
    <x v="51"/>
    <x v="51"/>
    <x v="4"/>
    <x v="3"/>
    <x v="0"/>
    <x v="51"/>
    <x v="51"/>
    <x v="1"/>
    <x v="51"/>
    <x v="19"/>
    <x v="1"/>
    <x v="41"/>
    <x v="0"/>
    <x v="6"/>
    <x v="10"/>
  </r>
  <r>
    <x v="52"/>
    <x v="52"/>
    <x v="0"/>
    <x v="0"/>
    <x v="0"/>
    <x v="52"/>
    <x v="52"/>
    <x v="1"/>
    <x v="52"/>
    <x v="12"/>
    <x v="1"/>
    <x v="12"/>
    <x v="0"/>
    <x v="4"/>
    <x v="12"/>
  </r>
  <r>
    <x v="53"/>
    <x v="53"/>
    <x v="1"/>
    <x v="1"/>
    <x v="0"/>
    <x v="53"/>
    <x v="53"/>
    <x v="34"/>
    <x v="53"/>
    <x v="3"/>
    <x v="0"/>
    <x v="42"/>
    <x v="0"/>
    <x v="7"/>
    <x v="11"/>
  </r>
  <r>
    <x v="54"/>
    <x v="54"/>
    <x v="2"/>
    <x v="2"/>
    <x v="0"/>
    <x v="54"/>
    <x v="54"/>
    <x v="35"/>
    <x v="54"/>
    <x v="6"/>
    <x v="0"/>
    <x v="43"/>
    <x v="0"/>
    <x v="0"/>
    <x v="6"/>
  </r>
  <r>
    <x v="55"/>
    <x v="55"/>
    <x v="3"/>
    <x v="3"/>
    <x v="0"/>
    <x v="55"/>
    <x v="55"/>
    <x v="36"/>
    <x v="55"/>
    <x v="5"/>
    <x v="0"/>
    <x v="44"/>
    <x v="1"/>
    <x v="1"/>
    <x v="0"/>
  </r>
  <r>
    <x v="56"/>
    <x v="56"/>
    <x v="4"/>
    <x v="0"/>
    <x v="0"/>
    <x v="56"/>
    <x v="56"/>
    <x v="37"/>
    <x v="56"/>
    <x v="8"/>
    <x v="0"/>
    <x v="45"/>
    <x v="0"/>
    <x v="5"/>
    <x v="1"/>
  </r>
  <r>
    <x v="57"/>
    <x v="57"/>
    <x v="0"/>
    <x v="1"/>
    <x v="0"/>
    <x v="57"/>
    <x v="57"/>
    <x v="1"/>
    <x v="57"/>
    <x v="2"/>
    <x v="1"/>
    <x v="46"/>
    <x v="0"/>
    <x v="0"/>
    <x v="12"/>
  </r>
  <r>
    <x v="58"/>
    <x v="58"/>
    <x v="1"/>
    <x v="2"/>
    <x v="0"/>
    <x v="58"/>
    <x v="58"/>
    <x v="38"/>
    <x v="58"/>
    <x v="9"/>
    <x v="0"/>
    <x v="47"/>
    <x v="0"/>
    <x v="4"/>
    <x v="12"/>
  </r>
  <r>
    <x v="59"/>
    <x v="59"/>
    <x v="2"/>
    <x v="3"/>
    <x v="0"/>
    <x v="59"/>
    <x v="59"/>
    <x v="1"/>
    <x v="59"/>
    <x v="20"/>
    <x v="1"/>
    <x v="17"/>
    <x v="0"/>
    <x v="1"/>
    <x v="10"/>
  </r>
  <r>
    <x v="0"/>
    <x v="0"/>
    <x v="0"/>
    <x v="0"/>
    <x v="1"/>
    <x v="60"/>
    <x v="60"/>
    <x v="1"/>
    <x v="60"/>
    <x v="11"/>
    <x v="1"/>
    <x v="19"/>
    <x v="0"/>
    <x v="5"/>
    <x v="16"/>
  </r>
  <r>
    <x v="1"/>
    <x v="1"/>
    <x v="1"/>
    <x v="0"/>
    <x v="1"/>
    <x v="61"/>
    <x v="61"/>
    <x v="1"/>
    <x v="61"/>
    <x v="13"/>
    <x v="1"/>
    <x v="6"/>
    <x v="0"/>
    <x v="4"/>
    <x v="14"/>
  </r>
  <r>
    <x v="2"/>
    <x v="2"/>
    <x v="0"/>
    <x v="1"/>
    <x v="1"/>
    <x v="62"/>
    <x v="62"/>
    <x v="1"/>
    <x v="62"/>
    <x v="9"/>
    <x v="1"/>
    <x v="48"/>
    <x v="0"/>
    <x v="2"/>
    <x v="3"/>
  </r>
  <r>
    <x v="3"/>
    <x v="3"/>
    <x v="2"/>
    <x v="1"/>
    <x v="1"/>
    <x v="63"/>
    <x v="63"/>
    <x v="39"/>
    <x v="63"/>
    <x v="4"/>
    <x v="0"/>
    <x v="10"/>
    <x v="0"/>
    <x v="2"/>
    <x v="14"/>
  </r>
  <r>
    <x v="4"/>
    <x v="4"/>
    <x v="3"/>
    <x v="0"/>
    <x v="1"/>
    <x v="64"/>
    <x v="64"/>
    <x v="1"/>
    <x v="64"/>
    <x v="6"/>
    <x v="1"/>
    <x v="49"/>
    <x v="0"/>
    <x v="2"/>
    <x v="17"/>
  </r>
  <r>
    <x v="5"/>
    <x v="5"/>
    <x v="4"/>
    <x v="2"/>
    <x v="1"/>
    <x v="65"/>
    <x v="65"/>
    <x v="40"/>
    <x v="65"/>
    <x v="16"/>
    <x v="0"/>
    <x v="50"/>
    <x v="0"/>
    <x v="5"/>
    <x v="0"/>
  </r>
  <r>
    <x v="6"/>
    <x v="6"/>
    <x v="0"/>
    <x v="0"/>
    <x v="1"/>
    <x v="66"/>
    <x v="66"/>
    <x v="41"/>
    <x v="66"/>
    <x v="6"/>
    <x v="0"/>
    <x v="51"/>
    <x v="0"/>
    <x v="7"/>
    <x v="17"/>
  </r>
  <r>
    <x v="7"/>
    <x v="7"/>
    <x v="1"/>
    <x v="2"/>
    <x v="1"/>
    <x v="67"/>
    <x v="67"/>
    <x v="1"/>
    <x v="67"/>
    <x v="14"/>
    <x v="1"/>
    <x v="52"/>
    <x v="0"/>
    <x v="5"/>
    <x v="11"/>
  </r>
  <r>
    <x v="8"/>
    <x v="8"/>
    <x v="2"/>
    <x v="3"/>
    <x v="1"/>
    <x v="68"/>
    <x v="68"/>
    <x v="42"/>
    <x v="68"/>
    <x v="21"/>
    <x v="0"/>
    <x v="53"/>
    <x v="0"/>
    <x v="5"/>
    <x v="10"/>
  </r>
  <r>
    <x v="9"/>
    <x v="9"/>
    <x v="4"/>
    <x v="0"/>
    <x v="1"/>
    <x v="69"/>
    <x v="69"/>
    <x v="1"/>
    <x v="69"/>
    <x v="1"/>
    <x v="1"/>
    <x v="10"/>
    <x v="0"/>
    <x v="1"/>
    <x v="7"/>
  </r>
  <r>
    <x v="10"/>
    <x v="10"/>
    <x v="3"/>
    <x v="3"/>
    <x v="1"/>
    <x v="70"/>
    <x v="70"/>
    <x v="43"/>
    <x v="70"/>
    <x v="16"/>
    <x v="0"/>
    <x v="54"/>
    <x v="0"/>
    <x v="6"/>
    <x v="7"/>
  </r>
  <r>
    <x v="11"/>
    <x v="11"/>
    <x v="0"/>
    <x v="2"/>
    <x v="1"/>
    <x v="71"/>
    <x v="71"/>
    <x v="1"/>
    <x v="71"/>
    <x v="22"/>
    <x v="1"/>
    <x v="15"/>
    <x v="0"/>
    <x v="4"/>
    <x v="5"/>
  </r>
  <r>
    <x v="12"/>
    <x v="12"/>
    <x v="0"/>
    <x v="0"/>
    <x v="1"/>
    <x v="72"/>
    <x v="72"/>
    <x v="1"/>
    <x v="72"/>
    <x v="4"/>
    <x v="1"/>
    <x v="11"/>
    <x v="0"/>
    <x v="5"/>
    <x v="10"/>
  </r>
  <r>
    <x v="13"/>
    <x v="13"/>
    <x v="1"/>
    <x v="1"/>
    <x v="1"/>
    <x v="73"/>
    <x v="73"/>
    <x v="1"/>
    <x v="73"/>
    <x v="0"/>
    <x v="1"/>
    <x v="50"/>
    <x v="0"/>
    <x v="5"/>
    <x v="0"/>
  </r>
  <r>
    <x v="14"/>
    <x v="14"/>
    <x v="2"/>
    <x v="2"/>
    <x v="1"/>
    <x v="74"/>
    <x v="74"/>
    <x v="1"/>
    <x v="74"/>
    <x v="5"/>
    <x v="1"/>
    <x v="17"/>
    <x v="0"/>
    <x v="2"/>
    <x v="10"/>
  </r>
  <r>
    <x v="15"/>
    <x v="15"/>
    <x v="3"/>
    <x v="3"/>
    <x v="1"/>
    <x v="75"/>
    <x v="75"/>
    <x v="44"/>
    <x v="75"/>
    <x v="9"/>
    <x v="0"/>
    <x v="37"/>
    <x v="0"/>
    <x v="0"/>
    <x v="18"/>
  </r>
  <r>
    <x v="16"/>
    <x v="16"/>
    <x v="4"/>
    <x v="0"/>
    <x v="1"/>
    <x v="76"/>
    <x v="76"/>
    <x v="1"/>
    <x v="76"/>
    <x v="15"/>
    <x v="1"/>
    <x v="55"/>
    <x v="0"/>
    <x v="1"/>
    <x v="12"/>
  </r>
  <r>
    <x v="17"/>
    <x v="17"/>
    <x v="0"/>
    <x v="1"/>
    <x v="1"/>
    <x v="77"/>
    <x v="77"/>
    <x v="1"/>
    <x v="77"/>
    <x v="17"/>
    <x v="1"/>
    <x v="56"/>
    <x v="0"/>
    <x v="1"/>
    <x v="11"/>
  </r>
  <r>
    <x v="18"/>
    <x v="18"/>
    <x v="1"/>
    <x v="2"/>
    <x v="1"/>
    <x v="78"/>
    <x v="78"/>
    <x v="45"/>
    <x v="78"/>
    <x v="15"/>
    <x v="0"/>
    <x v="34"/>
    <x v="0"/>
    <x v="5"/>
    <x v="5"/>
  </r>
  <r>
    <x v="19"/>
    <x v="19"/>
    <x v="2"/>
    <x v="3"/>
    <x v="1"/>
    <x v="79"/>
    <x v="79"/>
    <x v="46"/>
    <x v="79"/>
    <x v="21"/>
    <x v="0"/>
    <x v="57"/>
    <x v="0"/>
    <x v="5"/>
    <x v="12"/>
  </r>
  <r>
    <x v="20"/>
    <x v="20"/>
    <x v="3"/>
    <x v="0"/>
    <x v="1"/>
    <x v="80"/>
    <x v="80"/>
    <x v="47"/>
    <x v="80"/>
    <x v="5"/>
    <x v="0"/>
    <x v="58"/>
    <x v="0"/>
    <x v="5"/>
    <x v="4"/>
  </r>
  <r>
    <x v="21"/>
    <x v="21"/>
    <x v="4"/>
    <x v="1"/>
    <x v="1"/>
    <x v="81"/>
    <x v="81"/>
    <x v="1"/>
    <x v="81"/>
    <x v="11"/>
    <x v="1"/>
    <x v="59"/>
    <x v="0"/>
    <x v="0"/>
    <x v="18"/>
  </r>
  <r>
    <x v="22"/>
    <x v="22"/>
    <x v="0"/>
    <x v="2"/>
    <x v="1"/>
    <x v="82"/>
    <x v="82"/>
    <x v="48"/>
    <x v="82"/>
    <x v="1"/>
    <x v="0"/>
    <x v="45"/>
    <x v="0"/>
    <x v="0"/>
    <x v="6"/>
  </r>
  <r>
    <x v="23"/>
    <x v="23"/>
    <x v="1"/>
    <x v="3"/>
    <x v="1"/>
    <x v="83"/>
    <x v="83"/>
    <x v="1"/>
    <x v="83"/>
    <x v="16"/>
    <x v="1"/>
    <x v="60"/>
    <x v="0"/>
    <x v="7"/>
    <x v="6"/>
  </r>
  <r>
    <x v="24"/>
    <x v="24"/>
    <x v="2"/>
    <x v="0"/>
    <x v="1"/>
    <x v="84"/>
    <x v="84"/>
    <x v="1"/>
    <x v="84"/>
    <x v="0"/>
    <x v="1"/>
    <x v="61"/>
    <x v="0"/>
    <x v="2"/>
    <x v="8"/>
  </r>
  <r>
    <x v="25"/>
    <x v="25"/>
    <x v="3"/>
    <x v="1"/>
    <x v="1"/>
    <x v="85"/>
    <x v="85"/>
    <x v="49"/>
    <x v="85"/>
    <x v="15"/>
    <x v="0"/>
    <x v="14"/>
    <x v="0"/>
    <x v="7"/>
    <x v="14"/>
  </r>
  <r>
    <x v="26"/>
    <x v="26"/>
    <x v="4"/>
    <x v="2"/>
    <x v="1"/>
    <x v="86"/>
    <x v="86"/>
    <x v="1"/>
    <x v="86"/>
    <x v="9"/>
    <x v="1"/>
    <x v="62"/>
    <x v="0"/>
    <x v="6"/>
    <x v="6"/>
  </r>
  <r>
    <x v="27"/>
    <x v="27"/>
    <x v="0"/>
    <x v="3"/>
    <x v="1"/>
    <x v="87"/>
    <x v="87"/>
    <x v="50"/>
    <x v="87"/>
    <x v="20"/>
    <x v="0"/>
    <x v="22"/>
    <x v="0"/>
    <x v="7"/>
    <x v="18"/>
  </r>
  <r>
    <x v="28"/>
    <x v="28"/>
    <x v="1"/>
    <x v="0"/>
    <x v="1"/>
    <x v="88"/>
    <x v="88"/>
    <x v="51"/>
    <x v="88"/>
    <x v="8"/>
    <x v="0"/>
    <x v="10"/>
    <x v="0"/>
    <x v="0"/>
    <x v="5"/>
  </r>
  <r>
    <x v="29"/>
    <x v="29"/>
    <x v="2"/>
    <x v="1"/>
    <x v="1"/>
    <x v="89"/>
    <x v="89"/>
    <x v="52"/>
    <x v="89"/>
    <x v="8"/>
    <x v="0"/>
    <x v="29"/>
    <x v="0"/>
    <x v="4"/>
    <x v="5"/>
  </r>
  <r>
    <x v="30"/>
    <x v="30"/>
    <x v="3"/>
    <x v="2"/>
    <x v="1"/>
    <x v="90"/>
    <x v="90"/>
    <x v="1"/>
    <x v="90"/>
    <x v="6"/>
    <x v="1"/>
    <x v="63"/>
    <x v="0"/>
    <x v="3"/>
    <x v="14"/>
  </r>
  <r>
    <x v="31"/>
    <x v="31"/>
    <x v="4"/>
    <x v="3"/>
    <x v="1"/>
    <x v="91"/>
    <x v="91"/>
    <x v="53"/>
    <x v="91"/>
    <x v="23"/>
    <x v="0"/>
    <x v="63"/>
    <x v="0"/>
    <x v="1"/>
    <x v="13"/>
  </r>
  <r>
    <x v="32"/>
    <x v="32"/>
    <x v="0"/>
    <x v="0"/>
    <x v="1"/>
    <x v="92"/>
    <x v="92"/>
    <x v="54"/>
    <x v="92"/>
    <x v="0"/>
    <x v="0"/>
    <x v="48"/>
    <x v="0"/>
    <x v="2"/>
    <x v="8"/>
  </r>
  <r>
    <x v="33"/>
    <x v="33"/>
    <x v="1"/>
    <x v="1"/>
    <x v="1"/>
    <x v="93"/>
    <x v="93"/>
    <x v="55"/>
    <x v="93"/>
    <x v="10"/>
    <x v="0"/>
    <x v="64"/>
    <x v="0"/>
    <x v="7"/>
    <x v="2"/>
  </r>
  <r>
    <x v="34"/>
    <x v="34"/>
    <x v="2"/>
    <x v="2"/>
    <x v="1"/>
    <x v="94"/>
    <x v="94"/>
    <x v="56"/>
    <x v="94"/>
    <x v="8"/>
    <x v="0"/>
    <x v="65"/>
    <x v="0"/>
    <x v="2"/>
    <x v="6"/>
  </r>
  <r>
    <x v="35"/>
    <x v="35"/>
    <x v="3"/>
    <x v="3"/>
    <x v="1"/>
    <x v="95"/>
    <x v="95"/>
    <x v="57"/>
    <x v="95"/>
    <x v="7"/>
    <x v="0"/>
    <x v="66"/>
    <x v="1"/>
    <x v="1"/>
    <x v="7"/>
  </r>
  <r>
    <x v="36"/>
    <x v="36"/>
    <x v="4"/>
    <x v="0"/>
    <x v="1"/>
    <x v="96"/>
    <x v="96"/>
    <x v="58"/>
    <x v="96"/>
    <x v="4"/>
    <x v="0"/>
    <x v="10"/>
    <x v="0"/>
    <x v="5"/>
    <x v="13"/>
  </r>
  <r>
    <x v="37"/>
    <x v="37"/>
    <x v="0"/>
    <x v="1"/>
    <x v="1"/>
    <x v="97"/>
    <x v="97"/>
    <x v="1"/>
    <x v="97"/>
    <x v="22"/>
    <x v="1"/>
    <x v="67"/>
    <x v="0"/>
    <x v="0"/>
    <x v="8"/>
  </r>
  <r>
    <x v="38"/>
    <x v="38"/>
    <x v="1"/>
    <x v="2"/>
    <x v="1"/>
    <x v="98"/>
    <x v="98"/>
    <x v="59"/>
    <x v="98"/>
    <x v="7"/>
    <x v="0"/>
    <x v="68"/>
    <x v="1"/>
    <x v="0"/>
    <x v="6"/>
  </r>
  <r>
    <x v="39"/>
    <x v="39"/>
    <x v="2"/>
    <x v="3"/>
    <x v="1"/>
    <x v="99"/>
    <x v="99"/>
    <x v="1"/>
    <x v="99"/>
    <x v="8"/>
    <x v="1"/>
    <x v="35"/>
    <x v="1"/>
    <x v="0"/>
    <x v="14"/>
  </r>
  <r>
    <x v="40"/>
    <x v="40"/>
    <x v="3"/>
    <x v="0"/>
    <x v="1"/>
    <x v="100"/>
    <x v="100"/>
    <x v="60"/>
    <x v="100"/>
    <x v="4"/>
    <x v="0"/>
    <x v="22"/>
    <x v="0"/>
    <x v="1"/>
    <x v="1"/>
  </r>
  <r>
    <x v="41"/>
    <x v="41"/>
    <x v="4"/>
    <x v="1"/>
    <x v="1"/>
    <x v="101"/>
    <x v="101"/>
    <x v="61"/>
    <x v="101"/>
    <x v="0"/>
    <x v="0"/>
    <x v="62"/>
    <x v="0"/>
    <x v="0"/>
    <x v="15"/>
  </r>
  <r>
    <x v="42"/>
    <x v="42"/>
    <x v="0"/>
    <x v="2"/>
    <x v="1"/>
    <x v="102"/>
    <x v="102"/>
    <x v="1"/>
    <x v="102"/>
    <x v="1"/>
    <x v="1"/>
    <x v="69"/>
    <x v="0"/>
    <x v="5"/>
    <x v="14"/>
  </r>
  <r>
    <x v="43"/>
    <x v="43"/>
    <x v="1"/>
    <x v="3"/>
    <x v="1"/>
    <x v="103"/>
    <x v="103"/>
    <x v="62"/>
    <x v="103"/>
    <x v="5"/>
    <x v="0"/>
    <x v="50"/>
    <x v="0"/>
    <x v="5"/>
    <x v="7"/>
  </r>
  <r>
    <x v="44"/>
    <x v="44"/>
    <x v="2"/>
    <x v="0"/>
    <x v="1"/>
    <x v="104"/>
    <x v="104"/>
    <x v="1"/>
    <x v="104"/>
    <x v="11"/>
    <x v="1"/>
    <x v="31"/>
    <x v="1"/>
    <x v="0"/>
    <x v="19"/>
  </r>
  <r>
    <x v="45"/>
    <x v="45"/>
    <x v="3"/>
    <x v="1"/>
    <x v="1"/>
    <x v="105"/>
    <x v="105"/>
    <x v="1"/>
    <x v="105"/>
    <x v="4"/>
    <x v="1"/>
    <x v="59"/>
    <x v="0"/>
    <x v="1"/>
    <x v="13"/>
  </r>
  <r>
    <x v="46"/>
    <x v="46"/>
    <x v="4"/>
    <x v="2"/>
    <x v="1"/>
    <x v="106"/>
    <x v="106"/>
    <x v="63"/>
    <x v="106"/>
    <x v="24"/>
    <x v="0"/>
    <x v="49"/>
    <x v="0"/>
    <x v="2"/>
    <x v="2"/>
  </r>
  <r>
    <x v="47"/>
    <x v="47"/>
    <x v="0"/>
    <x v="3"/>
    <x v="1"/>
    <x v="107"/>
    <x v="107"/>
    <x v="64"/>
    <x v="107"/>
    <x v="5"/>
    <x v="0"/>
    <x v="8"/>
    <x v="0"/>
    <x v="0"/>
    <x v="3"/>
  </r>
  <r>
    <x v="48"/>
    <x v="48"/>
    <x v="1"/>
    <x v="0"/>
    <x v="1"/>
    <x v="108"/>
    <x v="108"/>
    <x v="65"/>
    <x v="108"/>
    <x v="7"/>
    <x v="0"/>
    <x v="69"/>
    <x v="0"/>
    <x v="5"/>
    <x v="18"/>
  </r>
  <r>
    <x v="49"/>
    <x v="49"/>
    <x v="2"/>
    <x v="1"/>
    <x v="1"/>
    <x v="109"/>
    <x v="109"/>
    <x v="1"/>
    <x v="109"/>
    <x v="0"/>
    <x v="1"/>
    <x v="53"/>
    <x v="0"/>
    <x v="5"/>
    <x v="10"/>
  </r>
  <r>
    <x v="50"/>
    <x v="50"/>
    <x v="3"/>
    <x v="2"/>
    <x v="1"/>
    <x v="110"/>
    <x v="110"/>
    <x v="66"/>
    <x v="110"/>
    <x v="9"/>
    <x v="0"/>
    <x v="3"/>
    <x v="0"/>
    <x v="6"/>
    <x v="0"/>
  </r>
  <r>
    <x v="51"/>
    <x v="51"/>
    <x v="4"/>
    <x v="3"/>
    <x v="1"/>
    <x v="111"/>
    <x v="111"/>
    <x v="1"/>
    <x v="111"/>
    <x v="15"/>
    <x v="1"/>
    <x v="18"/>
    <x v="0"/>
    <x v="7"/>
    <x v="1"/>
  </r>
  <r>
    <x v="52"/>
    <x v="52"/>
    <x v="0"/>
    <x v="0"/>
    <x v="1"/>
    <x v="112"/>
    <x v="112"/>
    <x v="67"/>
    <x v="112"/>
    <x v="15"/>
    <x v="0"/>
    <x v="18"/>
    <x v="0"/>
    <x v="2"/>
    <x v="12"/>
  </r>
  <r>
    <x v="53"/>
    <x v="53"/>
    <x v="1"/>
    <x v="1"/>
    <x v="1"/>
    <x v="113"/>
    <x v="113"/>
    <x v="68"/>
    <x v="113"/>
    <x v="16"/>
    <x v="0"/>
    <x v="63"/>
    <x v="0"/>
    <x v="4"/>
    <x v="13"/>
  </r>
  <r>
    <x v="54"/>
    <x v="54"/>
    <x v="2"/>
    <x v="2"/>
    <x v="1"/>
    <x v="114"/>
    <x v="114"/>
    <x v="69"/>
    <x v="114"/>
    <x v="15"/>
    <x v="0"/>
    <x v="70"/>
    <x v="0"/>
    <x v="1"/>
    <x v="10"/>
  </r>
  <r>
    <x v="55"/>
    <x v="55"/>
    <x v="3"/>
    <x v="3"/>
    <x v="1"/>
    <x v="115"/>
    <x v="115"/>
    <x v="70"/>
    <x v="115"/>
    <x v="16"/>
    <x v="0"/>
    <x v="71"/>
    <x v="0"/>
    <x v="1"/>
    <x v="10"/>
  </r>
  <r>
    <x v="56"/>
    <x v="56"/>
    <x v="4"/>
    <x v="0"/>
    <x v="1"/>
    <x v="116"/>
    <x v="116"/>
    <x v="71"/>
    <x v="116"/>
    <x v="6"/>
    <x v="0"/>
    <x v="60"/>
    <x v="0"/>
    <x v="6"/>
    <x v="5"/>
  </r>
  <r>
    <x v="57"/>
    <x v="57"/>
    <x v="0"/>
    <x v="1"/>
    <x v="1"/>
    <x v="117"/>
    <x v="117"/>
    <x v="72"/>
    <x v="117"/>
    <x v="4"/>
    <x v="0"/>
    <x v="72"/>
    <x v="0"/>
    <x v="5"/>
    <x v="0"/>
  </r>
  <r>
    <x v="58"/>
    <x v="58"/>
    <x v="1"/>
    <x v="2"/>
    <x v="1"/>
    <x v="118"/>
    <x v="118"/>
    <x v="73"/>
    <x v="118"/>
    <x v="7"/>
    <x v="0"/>
    <x v="20"/>
    <x v="0"/>
    <x v="5"/>
    <x v="8"/>
  </r>
  <r>
    <x v="59"/>
    <x v="59"/>
    <x v="2"/>
    <x v="3"/>
    <x v="1"/>
    <x v="119"/>
    <x v="119"/>
    <x v="74"/>
    <x v="119"/>
    <x v="6"/>
    <x v="0"/>
    <x v="19"/>
    <x v="0"/>
    <x v="7"/>
    <x v="6"/>
  </r>
  <r>
    <x v="0"/>
    <x v="0"/>
    <x v="0"/>
    <x v="0"/>
    <x v="2"/>
    <x v="120"/>
    <x v="120"/>
    <x v="1"/>
    <x v="120"/>
    <x v="13"/>
    <x v="1"/>
    <x v="73"/>
    <x v="0"/>
    <x v="5"/>
    <x v="14"/>
  </r>
  <r>
    <x v="1"/>
    <x v="1"/>
    <x v="1"/>
    <x v="0"/>
    <x v="2"/>
    <x v="121"/>
    <x v="121"/>
    <x v="75"/>
    <x v="121"/>
    <x v="20"/>
    <x v="0"/>
    <x v="19"/>
    <x v="0"/>
    <x v="6"/>
    <x v="7"/>
  </r>
  <r>
    <x v="2"/>
    <x v="2"/>
    <x v="0"/>
    <x v="1"/>
    <x v="2"/>
    <x v="122"/>
    <x v="122"/>
    <x v="1"/>
    <x v="122"/>
    <x v="5"/>
    <x v="1"/>
    <x v="31"/>
    <x v="1"/>
    <x v="2"/>
    <x v="1"/>
  </r>
  <r>
    <x v="3"/>
    <x v="3"/>
    <x v="2"/>
    <x v="1"/>
    <x v="2"/>
    <x v="123"/>
    <x v="123"/>
    <x v="76"/>
    <x v="93"/>
    <x v="15"/>
    <x v="0"/>
    <x v="69"/>
    <x v="0"/>
    <x v="5"/>
    <x v="9"/>
  </r>
  <r>
    <x v="4"/>
    <x v="4"/>
    <x v="3"/>
    <x v="0"/>
    <x v="2"/>
    <x v="124"/>
    <x v="124"/>
    <x v="1"/>
    <x v="123"/>
    <x v="6"/>
    <x v="1"/>
    <x v="58"/>
    <x v="0"/>
    <x v="6"/>
    <x v="8"/>
  </r>
  <r>
    <x v="5"/>
    <x v="5"/>
    <x v="4"/>
    <x v="2"/>
    <x v="2"/>
    <x v="125"/>
    <x v="125"/>
    <x v="77"/>
    <x v="124"/>
    <x v="3"/>
    <x v="0"/>
    <x v="63"/>
    <x v="0"/>
    <x v="0"/>
    <x v="0"/>
  </r>
  <r>
    <x v="6"/>
    <x v="6"/>
    <x v="0"/>
    <x v="0"/>
    <x v="2"/>
    <x v="126"/>
    <x v="126"/>
    <x v="1"/>
    <x v="125"/>
    <x v="15"/>
    <x v="1"/>
    <x v="74"/>
    <x v="0"/>
    <x v="6"/>
    <x v="12"/>
  </r>
  <r>
    <x v="7"/>
    <x v="7"/>
    <x v="1"/>
    <x v="2"/>
    <x v="2"/>
    <x v="127"/>
    <x v="127"/>
    <x v="78"/>
    <x v="126"/>
    <x v="6"/>
    <x v="0"/>
    <x v="37"/>
    <x v="0"/>
    <x v="7"/>
    <x v="8"/>
  </r>
  <r>
    <x v="8"/>
    <x v="8"/>
    <x v="2"/>
    <x v="3"/>
    <x v="2"/>
    <x v="128"/>
    <x v="128"/>
    <x v="1"/>
    <x v="127"/>
    <x v="6"/>
    <x v="1"/>
    <x v="69"/>
    <x v="0"/>
    <x v="4"/>
    <x v="13"/>
  </r>
  <r>
    <x v="9"/>
    <x v="9"/>
    <x v="4"/>
    <x v="0"/>
    <x v="2"/>
    <x v="129"/>
    <x v="129"/>
    <x v="79"/>
    <x v="128"/>
    <x v="7"/>
    <x v="0"/>
    <x v="75"/>
    <x v="1"/>
    <x v="5"/>
    <x v="11"/>
  </r>
  <r>
    <x v="10"/>
    <x v="10"/>
    <x v="3"/>
    <x v="3"/>
    <x v="2"/>
    <x v="130"/>
    <x v="130"/>
    <x v="80"/>
    <x v="129"/>
    <x v="21"/>
    <x v="0"/>
    <x v="70"/>
    <x v="0"/>
    <x v="1"/>
    <x v="1"/>
  </r>
  <r>
    <x v="11"/>
    <x v="11"/>
    <x v="0"/>
    <x v="2"/>
    <x v="2"/>
    <x v="131"/>
    <x v="131"/>
    <x v="1"/>
    <x v="130"/>
    <x v="20"/>
    <x v="1"/>
    <x v="76"/>
    <x v="1"/>
    <x v="5"/>
    <x v="13"/>
  </r>
  <r>
    <x v="12"/>
    <x v="12"/>
    <x v="0"/>
    <x v="0"/>
    <x v="2"/>
    <x v="132"/>
    <x v="132"/>
    <x v="1"/>
    <x v="131"/>
    <x v="15"/>
    <x v="1"/>
    <x v="48"/>
    <x v="0"/>
    <x v="5"/>
    <x v="0"/>
  </r>
  <r>
    <x v="13"/>
    <x v="13"/>
    <x v="1"/>
    <x v="1"/>
    <x v="2"/>
    <x v="133"/>
    <x v="133"/>
    <x v="1"/>
    <x v="132"/>
    <x v="15"/>
    <x v="1"/>
    <x v="77"/>
    <x v="0"/>
    <x v="0"/>
    <x v="14"/>
  </r>
  <r>
    <x v="14"/>
    <x v="14"/>
    <x v="2"/>
    <x v="2"/>
    <x v="2"/>
    <x v="134"/>
    <x v="134"/>
    <x v="81"/>
    <x v="133"/>
    <x v="16"/>
    <x v="0"/>
    <x v="65"/>
    <x v="0"/>
    <x v="7"/>
    <x v="0"/>
  </r>
  <r>
    <x v="15"/>
    <x v="15"/>
    <x v="3"/>
    <x v="3"/>
    <x v="2"/>
    <x v="135"/>
    <x v="135"/>
    <x v="1"/>
    <x v="134"/>
    <x v="0"/>
    <x v="1"/>
    <x v="13"/>
    <x v="0"/>
    <x v="1"/>
    <x v="1"/>
  </r>
  <r>
    <x v="16"/>
    <x v="16"/>
    <x v="4"/>
    <x v="0"/>
    <x v="2"/>
    <x v="136"/>
    <x v="136"/>
    <x v="1"/>
    <x v="135"/>
    <x v="15"/>
    <x v="1"/>
    <x v="74"/>
    <x v="0"/>
    <x v="0"/>
    <x v="14"/>
  </r>
  <r>
    <x v="17"/>
    <x v="17"/>
    <x v="0"/>
    <x v="1"/>
    <x v="2"/>
    <x v="137"/>
    <x v="137"/>
    <x v="1"/>
    <x v="136"/>
    <x v="9"/>
    <x v="1"/>
    <x v="1"/>
    <x v="0"/>
    <x v="4"/>
    <x v="14"/>
  </r>
  <r>
    <x v="18"/>
    <x v="18"/>
    <x v="1"/>
    <x v="2"/>
    <x v="2"/>
    <x v="138"/>
    <x v="138"/>
    <x v="82"/>
    <x v="137"/>
    <x v="11"/>
    <x v="0"/>
    <x v="62"/>
    <x v="0"/>
    <x v="0"/>
    <x v="15"/>
  </r>
  <r>
    <x v="19"/>
    <x v="19"/>
    <x v="2"/>
    <x v="3"/>
    <x v="2"/>
    <x v="139"/>
    <x v="139"/>
    <x v="1"/>
    <x v="138"/>
    <x v="11"/>
    <x v="1"/>
    <x v="38"/>
    <x v="0"/>
    <x v="6"/>
    <x v="5"/>
  </r>
  <r>
    <x v="20"/>
    <x v="20"/>
    <x v="3"/>
    <x v="0"/>
    <x v="2"/>
    <x v="140"/>
    <x v="140"/>
    <x v="83"/>
    <x v="139"/>
    <x v="8"/>
    <x v="0"/>
    <x v="18"/>
    <x v="0"/>
    <x v="7"/>
    <x v="17"/>
  </r>
  <r>
    <x v="21"/>
    <x v="21"/>
    <x v="4"/>
    <x v="1"/>
    <x v="2"/>
    <x v="141"/>
    <x v="141"/>
    <x v="84"/>
    <x v="140"/>
    <x v="16"/>
    <x v="0"/>
    <x v="78"/>
    <x v="0"/>
    <x v="4"/>
    <x v="8"/>
  </r>
  <r>
    <x v="22"/>
    <x v="22"/>
    <x v="0"/>
    <x v="2"/>
    <x v="2"/>
    <x v="142"/>
    <x v="142"/>
    <x v="85"/>
    <x v="141"/>
    <x v="9"/>
    <x v="0"/>
    <x v="79"/>
    <x v="0"/>
    <x v="7"/>
    <x v="9"/>
  </r>
  <r>
    <x v="23"/>
    <x v="23"/>
    <x v="1"/>
    <x v="3"/>
    <x v="2"/>
    <x v="143"/>
    <x v="143"/>
    <x v="1"/>
    <x v="142"/>
    <x v="1"/>
    <x v="1"/>
    <x v="56"/>
    <x v="0"/>
    <x v="7"/>
    <x v="6"/>
  </r>
  <r>
    <x v="24"/>
    <x v="24"/>
    <x v="2"/>
    <x v="0"/>
    <x v="2"/>
    <x v="144"/>
    <x v="144"/>
    <x v="86"/>
    <x v="143"/>
    <x v="7"/>
    <x v="0"/>
    <x v="67"/>
    <x v="0"/>
    <x v="7"/>
    <x v="12"/>
  </r>
  <r>
    <x v="25"/>
    <x v="25"/>
    <x v="3"/>
    <x v="1"/>
    <x v="2"/>
    <x v="145"/>
    <x v="145"/>
    <x v="87"/>
    <x v="144"/>
    <x v="4"/>
    <x v="0"/>
    <x v="54"/>
    <x v="0"/>
    <x v="6"/>
    <x v="5"/>
  </r>
  <r>
    <x v="26"/>
    <x v="26"/>
    <x v="4"/>
    <x v="2"/>
    <x v="2"/>
    <x v="146"/>
    <x v="146"/>
    <x v="88"/>
    <x v="145"/>
    <x v="21"/>
    <x v="0"/>
    <x v="57"/>
    <x v="0"/>
    <x v="5"/>
    <x v="5"/>
  </r>
  <r>
    <x v="27"/>
    <x v="27"/>
    <x v="0"/>
    <x v="3"/>
    <x v="2"/>
    <x v="147"/>
    <x v="147"/>
    <x v="89"/>
    <x v="146"/>
    <x v="6"/>
    <x v="0"/>
    <x v="80"/>
    <x v="1"/>
    <x v="3"/>
    <x v="1"/>
  </r>
  <r>
    <x v="28"/>
    <x v="28"/>
    <x v="1"/>
    <x v="0"/>
    <x v="2"/>
    <x v="148"/>
    <x v="148"/>
    <x v="1"/>
    <x v="147"/>
    <x v="5"/>
    <x v="1"/>
    <x v="40"/>
    <x v="0"/>
    <x v="6"/>
    <x v="1"/>
  </r>
  <r>
    <x v="29"/>
    <x v="29"/>
    <x v="2"/>
    <x v="1"/>
    <x v="2"/>
    <x v="149"/>
    <x v="149"/>
    <x v="1"/>
    <x v="148"/>
    <x v="0"/>
    <x v="1"/>
    <x v="40"/>
    <x v="0"/>
    <x v="0"/>
    <x v="1"/>
  </r>
  <r>
    <x v="30"/>
    <x v="30"/>
    <x v="3"/>
    <x v="2"/>
    <x v="2"/>
    <x v="150"/>
    <x v="150"/>
    <x v="90"/>
    <x v="149"/>
    <x v="6"/>
    <x v="0"/>
    <x v="65"/>
    <x v="0"/>
    <x v="6"/>
    <x v="1"/>
  </r>
  <r>
    <x v="31"/>
    <x v="31"/>
    <x v="4"/>
    <x v="3"/>
    <x v="2"/>
    <x v="151"/>
    <x v="151"/>
    <x v="91"/>
    <x v="150"/>
    <x v="8"/>
    <x v="0"/>
    <x v="18"/>
    <x v="0"/>
    <x v="5"/>
    <x v="8"/>
  </r>
  <r>
    <x v="32"/>
    <x v="32"/>
    <x v="0"/>
    <x v="0"/>
    <x v="2"/>
    <x v="152"/>
    <x v="152"/>
    <x v="92"/>
    <x v="151"/>
    <x v="4"/>
    <x v="0"/>
    <x v="40"/>
    <x v="0"/>
    <x v="6"/>
    <x v="8"/>
  </r>
  <r>
    <x v="33"/>
    <x v="33"/>
    <x v="1"/>
    <x v="1"/>
    <x v="2"/>
    <x v="153"/>
    <x v="153"/>
    <x v="93"/>
    <x v="152"/>
    <x v="8"/>
    <x v="0"/>
    <x v="49"/>
    <x v="0"/>
    <x v="7"/>
    <x v="7"/>
  </r>
  <r>
    <x v="34"/>
    <x v="34"/>
    <x v="2"/>
    <x v="2"/>
    <x v="2"/>
    <x v="154"/>
    <x v="154"/>
    <x v="1"/>
    <x v="153"/>
    <x v="11"/>
    <x v="1"/>
    <x v="23"/>
    <x v="0"/>
    <x v="5"/>
    <x v="13"/>
  </r>
  <r>
    <x v="35"/>
    <x v="35"/>
    <x v="3"/>
    <x v="3"/>
    <x v="2"/>
    <x v="155"/>
    <x v="155"/>
    <x v="94"/>
    <x v="154"/>
    <x v="5"/>
    <x v="0"/>
    <x v="14"/>
    <x v="0"/>
    <x v="1"/>
    <x v="17"/>
  </r>
  <r>
    <x v="36"/>
    <x v="36"/>
    <x v="4"/>
    <x v="0"/>
    <x v="2"/>
    <x v="156"/>
    <x v="156"/>
    <x v="1"/>
    <x v="155"/>
    <x v="5"/>
    <x v="1"/>
    <x v="23"/>
    <x v="0"/>
    <x v="1"/>
    <x v="1"/>
  </r>
  <r>
    <x v="37"/>
    <x v="37"/>
    <x v="0"/>
    <x v="1"/>
    <x v="2"/>
    <x v="157"/>
    <x v="157"/>
    <x v="1"/>
    <x v="156"/>
    <x v="14"/>
    <x v="1"/>
    <x v="52"/>
    <x v="0"/>
    <x v="2"/>
    <x v="8"/>
  </r>
  <r>
    <x v="38"/>
    <x v="38"/>
    <x v="1"/>
    <x v="2"/>
    <x v="2"/>
    <x v="158"/>
    <x v="158"/>
    <x v="1"/>
    <x v="157"/>
    <x v="19"/>
    <x v="1"/>
    <x v="81"/>
    <x v="0"/>
    <x v="7"/>
    <x v="13"/>
  </r>
  <r>
    <x v="39"/>
    <x v="39"/>
    <x v="2"/>
    <x v="3"/>
    <x v="2"/>
    <x v="159"/>
    <x v="159"/>
    <x v="95"/>
    <x v="158"/>
    <x v="7"/>
    <x v="0"/>
    <x v="18"/>
    <x v="0"/>
    <x v="1"/>
    <x v="3"/>
  </r>
  <r>
    <x v="40"/>
    <x v="40"/>
    <x v="3"/>
    <x v="0"/>
    <x v="2"/>
    <x v="160"/>
    <x v="160"/>
    <x v="96"/>
    <x v="159"/>
    <x v="8"/>
    <x v="0"/>
    <x v="16"/>
    <x v="0"/>
    <x v="1"/>
    <x v="5"/>
  </r>
  <r>
    <x v="41"/>
    <x v="41"/>
    <x v="4"/>
    <x v="1"/>
    <x v="2"/>
    <x v="161"/>
    <x v="161"/>
    <x v="1"/>
    <x v="160"/>
    <x v="9"/>
    <x v="1"/>
    <x v="52"/>
    <x v="0"/>
    <x v="0"/>
    <x v="1"/>
  </r>
  <r>
    <x v="42"/>
    <x v="42"/>
    <x v="0"/>
    <x v="2"/>
    <x v="2"/>
    <x v="162"/>
    <x v="162"/>
    <x v="1"/>
    <x v="161"/>
    <x v="23"/>
    <x v="1"/>
    <x v="38"/>
    <x v="0"/>
    <x v="5"/>
    <x v="12"/>
  </r>
  <r>
    <x v="43"/>
    <x v="43"/>
    <x v="0"/>
    <x v="3"/>
    <x v="2"/>
    <x v="163"/>
    <x v="163"/>
    <x v="1"/>
    <x v="162"/>
    <x v="10"/>
    <x v="1"/>
    <x v="55"/>
    <x v="0"/>
    <x v="1"/>
    <x v="19"/>
  </r>
  <r>
    <x v="44"/>
    <x v="44"/>
    <x v="2"/>
    <x v="0"/>
    <x v="2"/>
    <x v="164"/>
    <x v="164"/>
    <x v="97"/>
    <x v="163"/>
    <x v="5"/>
    <x v="0"/>
    <x v="78"/>
    <x v="0"/>
    <x v="1"/>
    <x v="0"/>
  </r>
  <r>
    <x v="45"/>
    <x v="45"/>
    <x v="3"/>
    <x v="1"/>
    <x v="2"/>
    <x v="165"/>
    <x v="165"/>
    <x v="98"/>
    <x v="164"/>
    <x v="7"/>
    <x v="0"/>
    <x v="82"/>
    <x v="0"/>
    <x v="5"/>
    <x v="0"/>
  </r>
  <r>
    <x v="46"/>
    <x v="46"/>
    <x v="4"/>
    <x v="2"/>
    <x v="2"/>
    <x v="166"/>
    <x v="166"/>
    <x v="1"/>
    <x v="165"/>
    <x v="9"/>
    <x v="1"/>
    <x v="13"/>
    <x v="0"/>
    <x v="1"/>
    <x v="7"/>
  </r>
  <r>
    <x v="47"/>
    <x v="47"/>
    <x v="0"/>
    <x v="3"/>
    <x v="2"/>
    <x v="167"/>
    <x v="167"/>
    <x v="99"/>
    <x v="166"/>
    <x v="20"/>
    <x v="0"/>
    <x v="41"/>
    <x v="0"/>
    <x v="2"/>
    <x v="8"/>
  </r>
  <r>
    <x v="48"/>
    <x v="48"/>
    <x v="1"/>
    <x v="0"/>
    <x v="2"/>
    <x v="168"/>
    <x v="168"/>
    <x v="1"/>
    <x v="167"/>
    <x v="10"/>
    <x v="1"/>
    <x v="76"/>
    <x v="1"/>
    <x v="8"/>
    <x v="12"/>
  </r>
  <r>
    <x v="49"/>
    <x v="49"/>
    <x v="2"/>
    <x v="1"/>
    <x v="2"/>
    <x v="169"/>
    <x v="169"/>
    <x v="1"/>
    <x v="168"/>
    <x v="4"/>
    <x v="1"/>
    <x v="70"/>
    <x v="0"/>
    <x v="7"/>
    <x v="14"/>
  </r>
  <r>
    <x v="50"/>
    <x v="50"/>
    <x v="3"/>
    <x v="2"/>
    <x v="2"/>
    <x v="170"/>
    <x v="170"/>
    <x v="1"/>
    <x v="169"/>
    <x v="11"/>
    <x v="1"/>
    <x v="22"/>
    <x v="0"/>
    <x v="7"/>
    <x v="8"/>
  </r>
  <r>
    <x v="51"/>
    <x v="51"/>
    <x v="4"/>
    <x v="3"/>
    <x v="2"/>
    <x v="171"/>
    <x v="171"/>
    <x v="100"/>
    <x v="170"/>
    <x v="8"/>
    <x v="0"/>
    <x v="50"/>
    <x v="0"/>
    <x v="3"/>
    <x v="1"/>
  </r>
  <r>
    <x v="52"/>
    <x v="52"/>
    <x v="0"/>
    <x v="0"/>
    <x v="2"/>
    <x v="172"/>
    <x v="172"/>
    <x v="1"/>
    <x v="171"/>
    <x v="25"/>
    <x v="1"/>
    <x v="83"/>
    <x v="0"/>
    <x v="5"/>
    <x v="19"/>
  </r>
  <r>
    <x v="53"/>
    <x v="53"/>
    <x v="1"/>
    <x v="1"/>
    <x v="2"/>
    <x v="173"/>
    <x v="173"/>
    <x v="1"/>
    <x v="172"/>
    <x v="9"/>
    <x v="1"/>
    <x v="57"/>
    <x v="0"/>
    <x v="7"/>
    <x v="15"/>
  </r>
  <r>
    <x v="54"/>
    <x v="54"/>
    <x v="2"/>
    <x v="2"/>
    <x v="2"/>
    <x v="174"/>
    <x v="174"/>
    <x v="101"/>
    <x v="173"/>
    <x v="7"/>
    <x v="0"/>
    <x v="17"/>
    <x v="0"/>
    <x v="0"/>
    <x v="0"/>
  </r>
  <r>
    <x v="55"/>
    <x v="55"/>
    <x v="3"/>
    <x v="3"/>
    <x v="2"/>
    <x v="175"/>
    <x v="175"/>
    <x v="1"/>
    <x v="174"/>
    <x v="15"/>
    <x v="1"/>
    <x v="82"/>
    <x v="0"/>
    <x v="2"/>
    <x v="14"/>
  </r>
  <r>
    <x v="56"/>
    <x v="56"/>
    <x v="4"/>
    <x v="0"/>
    <x v="2"/>
    <x v="176"/>
    <x v="176"/>
    <x v="102"/>
    <x v="175"/>
    <x v="8"/>
    <x v="0"/>
    <x v="84"/>
    <x v="0"/>
    <x v="1"/>
    <x v="0"/>
  </r>
  <r>
    <x v="57"/>
    <x v="57"/>
    <x v="0"/>
    <x v="1"/>
    <x v="2"/>
    <x v="177"/>
    <x v="177"/>
    <x v="103"/>
    <x v="176"/>
    <x v="13"/>
    <x v="0"/>
    <x v="60"/>
    <x v="0"/>
    <x v="4"/>
    <x v="10"/>
  </r>
  <r>
    <x v="58"/>
    <x v="58"/>
    <x v="1"/>
    <x v="2"/>
    <x v="2"/>
    <x v="178"/>
    <x v="178"/>
    <x v="1"/>
    <x v="177"/>
    <x v="0"/>
    <x v="1"/>
    <x v="69"/>
    <x v="0"/>
    <x v="1"/>
    <x v="9"/>
  </r>
  <r>
    <x v="59"/>
    <x v="59"/>
    <x v="2"/>
    <x v="3"/>
    <x v="2"/>
    <x v="179"/>
    <x v="179"/>
    <x v="104"/>
    <x v="178"/>
    <x v="20"/>
    <x v="0"/>
    <x v="27"/>
    <x v="1"/>
    <x v="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B10" firstHeaderRow="2" firstDataRow="2" firstDataCol="1"/>
  <pivotFields count="15"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ubtotalTop="0" showAll="0" includeNewItemsInFilter="1">
      <items count="61">
        <item x="23"/>
        <item x="43"/>
        <item x="9"/>
        <item x="2"/>
        <item x="12"/>
        <item x="32"/>
        <item x="52"/>
        <item x="4"/>
        <item x="24"/>
        <item x="44"/>
        <item x="13"/>
        <item x="33"/>
        <item x="53"/>
        <item x="11"/>
        <item x="14"/>
        <item x="34"/>
        <item x="54"/>
        <item x="5"/>
        <item x="15"/>
        <item x="35"/>
        <item x="55"/>
        <item x="25"/>
        <item x="45"/>
        <item x="8"/>
        <item x="16"/>
        <item x="36"/>
        <item x="56"/>
        <item x="6"/>
        <item x="26"/>
        <item x="46"/>
        <item x="17"/>
        <item x="37"/>
        <item x="57"/>
        <item x="27"/>
        <item x="47"/>
        <item x="18"/>
        <item x="38"/>
        <item x="58"/>
        <item x="1"/>
        <item x="28"/>
        <item x="48"/>
        <item x="10"/>
        <item x="19"/>
        <item x="39"/>
        <item x="59"/>
        <item x="0"/>
        <item x="20"/>
        <item x="40"/>
        <item x="29"/>
        <item x="49"/>
        <item x="7"/>
        <item x="21"/>
        <item x="41"/>
        <item x="30"/>
        <item x="50"/>
        <item x="3"/>
        <item x="22"/>
        <item x="42"/>
        <item x="31"/>
        <item x="51"/>
        <item t="default"/>
      </items>
    </pivotField>
    <pivotField axis="axisRow" compact="0" sortType="descending" outline="0" subtotalTop="0" showAll="0" includeNewItemsInFilter="1">
      <items count="6">
        <item x="4"/>
        <item x="3"/>
        <item x="2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>
      <items count="5">
        <item x="1"/>
        <item x="0"/>
        <item x="2"/>
        <item x="3"/>
        <item t="default"/>
      </items>
    </pivotField>
    <pivotField compact="0" outline="0" subtotalTop="0" showAll="0" includeNewItemsInFilter="1">
      <items count="4">
        <item x="1"/>
        <item x="0"/>
        <item x="2"/>
        <item t="default"/>
      </items>
    </pivotField>
    <pivotField compact="0" outline="0" subtotalTop="0" numFmtId="180" showAll="0" includeNewItemsInFilter="1">
      <items count="181">
        <item x="30"/>
        <item x="140"/>
        <item x="124"/>
        <item x="15"/>
        <item x="79"/>
        <item x="130"/>
        <item x="4"/>
        <item x="59"/>
        <item x="164"/>
        <item x="99"/>
        <item x="8"/>
        <item x="64"/>
        <item x="145"/>
        <item x="10"/>
        <item x="38"/>
        <item x="13"/>
        <item x="159"/>
        <item x="75"/>
        <item x="135"/>
        <item x="44"/>
        <item x="144"/>
        <item x="48"/>
        <item x="88"/>
        <item x="98"/>
        <item x="49"/>
        <item x="163"/>
        <item x="21"/>
        <item x="50"/>
        <item x="81"/>
        <item x="19"/>
        <item x="83"/>
        <item x="170"/>
        <item x="68"/>
        <item x="63"/>
        <item x="90"/>
        <item x="58"/>
        <item x="153"/>
        <item x="95"/>
        <item x="53"/>
        <item x="136"/>
        <item x="169"/>
        <item x="31"/>
        <item x="134"/>
        <item x="151"/>
        <item x="118"/>
        <item x="28"/>
        <item x="9"/>
        <item x="5"/>
        <item x="133"/>
        <item x="61"/>
        <item x="146"/>
        <item x="29"/>
        <item x="176"/>
        <item x="178"/>
        <item x="93"/>
        <item x="125"/>
        <item x="113"/>
        <item x="39"/>
        <item x="173"/>
        <item x="165"/>
        <item x="168"/>
        <item x="89"/>
        <item x="7"/>
        <item x="3"/>
        <item x="74"/>
        <item x="85"/>
        <item x="150"/>
        <item x="34"/>
        <item x="73"/>
        <item x="103"/>
        <item x="36"/>
        <item x="139"/>
        <item x="45"/>
        <item x="67"/>
        <item x="154"/>
        <item x="101"/>
        <item x="65"/>
        <item x="105"/>
        <item x="123"/>
        <item x="114"/>
        <item x="86"/>
        <item x="23"/>
        <item x="127"/>
        <item x="175"/>
        <item x="56"/>
        <item x="80"/>
        <item x="149"/>
        <item x="55"/>
        <item x="35"/>
        <item x="143"/>
        <item x="109"/>
        <item x="108"/>
        <item x="128"/>
        <item x="141"/>
        <item x="148"/>
        <item x="70"/>
        <item x="33"/>
        <item x="24"/>
        <item x="152"/>
        <item x="106"/>
        <item x="174"/>
        <item x="43"/>
        <item x="166"/>
        <item x="20"/>
        <item x="156"/>
        <item x="158"/>
        <item x="155"/>
        <item x="6"/>
        <item x="121"/>
        <item x="40"/>
        <item x="115"/>
        <item x="16"/>
        <item x="25"/>
        <item x="57"/>
        <item x="37"/>
        <item x="104"/>
        <item x="96"/>
        <item x="120"/>
        <item x="52"/>
        <item x="107"/>
        <item x="22"/>
        <item x="100"/>
        <item x="14"/>
        <item x="94"/>
        <item x="110"/>
        <item x="160"/>
        <item x="122"/>
        <item x="119"/>
        <item x="78"/>
        <item x="84"/>
        <item x="41"/>
        <item x="18"/>
        <item x="179"/>
        <item x="46"/>
        <item x="111"/>
        <item x="91"/>
        <item x="116"/>
        <item x="2"/>
        <item x="69"/>
        <item x="76"/>
        <item x="54"/>
        <item x="1"/>
        <item x="129"/>
        <item x="87"/>
        <item x="131"/>
        <item x="72"/>
        <item x="117"/>
        <item x="62"/>
        <item x="171"/>
        <item x="138"/>
        <item x="161"/>
        <item x="26"/>
        <item x="47"/>
        <item x="51"/>
        <item x="112"/>
        <item x="17"/>
        <item x="157"/>
        <item x="142"/>
        <item x="147"/>
        <item x="12"/>
        <item x="126"/>
        <item x="60"/>
        <item x="42"/>
        <item x="162"/>
        <item x="167"/>
        <item x="0"/>
        <item x="27"/>
        <item x="32"/>
        <item x="137"/>
        <item x="82"/>
        <item x="11"/>
        <item x="71"/>
        <item x="102"/>
        <item x="97"/>
        <item x="66"/>
        <item x="172"/>
        <item x="177"/>
        <item x="132"/>
        <item x="77"/>
        <item x="92"/>
        <item t="default"/>
      </items>
    </pivotField>
    <pivotField dataField="1" compact="0" outline="0" subtotalTop="0" numFmtId="180" showAll="0" includeNewItemsInFilter="1">
      <items count="181">
        <item x="130"/>
        <item x="79"/>
        <item x="8"/>
        <item x="48"/>
        <item x="159"/>
        <item x="44"/>
        <item x="68"/>
        <item x="146"/>
        <item x="88"/>
        <item x="15"/>
        <item x="65"/>
        <item x="5"/>
        <item x="145"/>
        <item x="176"/>
        <item x="63"/>
        <item x="164"/>
        <item x="125"/>
        <item x="115"/>
        <item x="150"/>
        <item x="35"/>
        <item x="31"/>
        <item x="140"/>
        <item x="106"/>
        <item x="100"/>
        <item x="50"/>
        <item x="53"/>
        <item x="36"/>
        <item x="56"/>
        <item x="151"/>
        <item x="30"/>
        <item x="3"/>
        <item x="75"/>
        <item x="118"/>
        <item x="108"/>
        <item x="121"/>
        <item x="45"/>
        <item x="98"/>
        <item x="179"/>
        <item x="58"/>
        <item x="9"/>
        <item x="94"/>
        <item x="96"/>
        <item x="33"/>
        <item x="153"/>
        <item x="144"/>
        <item x="34"/>
        <item x="49"/>
        <item x="174"/>
        <item x="20"/>
        <item x="147"/>
        <item x="152"/>
        <item x="89"/>
        <item x="165"/>
        <item x="29"/>
        <item x="4"/>
        <item x="93"/>
        <item x="10"/>
        <item x="142"/>
        <item x="110"/>
        <item x="24"/>
        <item x="85"/>
        <item x="47"/>
        <item x="17"/>
        <item x="25"/>
        <item x="129"/>
        <item x="123"/>
        <item x="55"/>
        <item x="124"/>
        <item x="95"/>
        <item x="101"/>
        <item x="14"/>
        <item x="127"/>
        <item x="99"/>
        <item x="141"/>
        <item x="134"/>
        <item x="160"/>
        <item x="135"/>
        <item x="54"/>
        <item x="78"/>
        <item x="113"/>
        <item x="70"/>
        <item x="64"/>
        <item x="169"/>
        <item x="155"/>
        <item x="0"/>
        <item x="138"/>
        <item x="103"/>
        <item x="59"/>
        <item x="133"/>
        <item x="13"/>
        <item x="114"/>
        <item x="112"/>
        <item x="163"/>
        <item x="171"/>
        <item x="37"/>
        <item x="116"/>
        <item x="107"/>
        <item x="91"/>
        <item x="80"/>
        <item x="12"/>
        <item x="74"/>
        <item x="168"/>
        <item x="18"/>
        <item x="83"/>
        <item x="73"/>
        <item x="117"/>
        <item x="119"/>
        <item x="175"/>
        <item x="128"/>
        <item x="170"/>
        <item x="38"/>
        <item x="87"/>
        <item x="167"/>
        <item x="81"/>
        <item x="173"/>
        <item x="166"/>
        <item x="149"/>
        <item x="136"/>
        <item x="90"/>
        <item x="46"/>
        <item x="11"/>
        <item x="2"/>
        <item x="21"/>
        <item x="61"/>
        <item x="23"/>
        <item x="7"/>
        <item x="19"/>
        <item x="105"/>
        <item x="28"/>
        <item x="26"/>
        <item x="66"/>
        <item x="109"/>
        <item x="122"/>
        <item x="178"/>
        <item x="39"/>
        <item x="111"/>
        <item x="86"/>
        <item x="6"/>
        <item x="139"/>
        <item x="41"/>
        <item x="143"/>
        <item x="154"/>
        <item x="67"/>
        <item x="76"/>
        <item x="40"/>
        <item x="72"/>
        <item x="104"/>
        <item x="27"/>
        <item x="120"/>
        <item x="131"/>
        <item x="32"/>
        <item x="148"/>
        <item x="43"/>
        <item x="92"/>
        <item x="158"/>
        <item x="16"/>
        <item x="22"/>
        <item x="51"/>
        <item x="82"/>
        <item x="84"/>
        <item x="57"/>
        <item x="156"/>
        <item x="52"/>
        <item x="62"/>
        <item x="177"/>
        <item x="1"/>
        <item x="162"/>
        <item x="42"/>
        <item x="161"/>
        <item x="132"/>
        <item x="126"/>
        <item x="69"/>
        <item x="102"/>
        <item x="71"/>
        <item x="172"/>
        <item x="60"/>
        <item x="137"/>
        <item x="157"/>
        <item x="97"/>
        <item x="77"/>
        <item t="default"/>
      </items>
    </pivotField>
    <pivotField compact="0" outline="0" subtotalTop="0" numFmtId="9" showAll="0" includeNewItemsInFilter="1">
      <items count="106">
        <item x="80"/>
        <item x="31"/>
        <item x="89"/>
        <item x="70"/>
        <item x="60"/>
        <item x="40"/>
        <item x="88"/>
        <item x="85"/>
        <item x="42"/>
        <item x="5"/>
        <item x="46"/>
        <item x="27"/>
        <item x="63"/>
        <item x="95"/>
        <item x="102"/>
        <item x="11"/>
        <item x="4"/>
        <item x="24"/>
        <item x="0"/>
        <item x="104"/>
        <item x="75"/>
        <item x="30"/>
        <item x="51"/>
        <item x="90"/>
        <item x="77"/>
        <item x="39"/>
        <item x="37"/>
        <item x="56"/>
        <item x="65"/>
        <item x="58"/>
        <item x="25"/>
        <item x="79"/>
        <item x="67"/>
        <item x="8"/>
        <item x="3"/>
        <item x="20"/>
        <item x="22"/>
        <item x="7"/>
        <item x="66"/>
        <item x="28"/>
        <item x="101"/>
        <item x="99"/>
        <item x="35"/>
        <item x="10"/>
        <item x="13"/>
        <item x="87"/>
        <item x="82"/>
        <item x="34"/>
        <item x="91"/>
        <item x="41"/>
        <item x="92"/>
        <item x="33"/>
        <item x="100"/>
        <item x="15"/>
        <item x="9"/>
        <item x="73"/>
        <item x="14"/>
        <item x="97"/>
        <item x="96"/>
        <item x="45"/>
        <item x="72"/>
        <item x="23"/>
        <item x="71"/>
        <item x="6"/>
        <item x="53"/>
        <item x="44"/>
        <item x="52"/>
        <item x="94"/>
        <item x="84"/>
        <item x="98"/>
        <item x="54"/>
        <item x="12"/>
        <item x="36"/>
        <item x="38"/>
        <item x="64"/>
        <item x="55"/>
        <item x="43"/>
        <item x="18"/>
        <item x="50"/>
        <item x="76"/>
        <item x="26"/>
        <item x="49"/>
        <item x="93"/>
        <item x="78"/>
        <item x="61"/>
        <item x="83"/>
        <item x="59"/>
        <item x="17"/>
        <item x="74"/>
        <item x="21"/>
        <item x="16"/>
        <item x="2"/>
        <item x="32"/>
        <item x="48"/>
        <item x="86"/>
        <item x="29"/>
        <item x="103"/>
        <item x="69"/>
        <item x="68"/>
        <item x="47"/>
        <item x="62"/>
        <item x="19"/>
        <item x="57"/>
        <item x="81"/>
        <item x="1"/>
        <item t="default"/>
      </items>
    </pivotField>
    <pivotField compact="0" outline="0" subtotalTop="0" numFmtId="180" showAll="0" includeNewItemsInFilter="1">
      <items count="180">
        <item x="146"/>
        <item x="141"/>
        <item x="100"/>
        <item x="115"/>
        <item x="17"/>
        <item x="0"/>
        <item x="65"/>
        <item x="106"/>
        <item x="47"/>
        <item x="145"/>
        <item x="178"/>
        <item x="48"/>
        <item x="68"/>
        <item x="129"/>
        <item x="35"/>
        <item x="121"/>
        <item x="175"/>
        <item x="5"/>
        <item x="44"/>
        <item x="8"/>
        <item x="79"/>
        <item x="94"/>
        <item x="158"/>
        <item x="112"/>
        <item x="12"/>
        <item x="11"/>
        <item x="96"/>
        <item x="149"/>
        <item x="56"/>
        <item x="128"/>
        <item x="124"/>
        <item x="108"/>
        <item x="166"/>
        <item x="88"/>
        <item x="66"/>
        <item x="63"/>
        <item x="36"/>
        <item x="110"/>
        <item x="137"/>
        <item x="54"/>
        <item x="3"/>
        <item x="33"/>
        <item x="173"/>
        <item x="170"/>
        <item x="45"/>
        <item x="20"/>
        <item x="31"/>
        <item x="151"/>
        <item x="25"/>
        <item x="14"/>
        <item x="150"/>
        <item x="53"/>
        <item x="159"/>
        <item x="50"/>
        <item x="144"/>
        <item x="78"/>
        <item x="24"/>
        <item x="117"/>
        <item x="15"/>
        <item x="118"/>
        <item x="116"/>
        <item x="91"/>
        <item x="34"/>
        <item x="92"/>
        <item x="163"/>
        <item x="9"/>
        <item x="154"/>
        <item x="18"/>
        <item x="140"/>
        <item x="89"/>
        <item x="164"/>
        <item x="87"/>
        <item x="107"/>
        <item x="55"/>
        <item x="75"/>
        <item x="70"/>
        <item x="37"/>
        <item x="93"/>
        <item x="27"/>
        <item x="58"/>
        <item x="29"/>
        <item x="85"/>
        <item x="126"/>
        <item x="32"/>
        <item x="152"/>
        <item x="101"/>
        <item x="26"/>
        <item x="119"/>
        <item x="98"/>
        <item x="139"/>
        <item x="2"/>
        <item x="82"/>
        <item x="46"/>
        <item x="49"/>
        <item x="176"/>
        <item x="143"/>
        <item x="114"/>
        <item x="113"/>
        <item x="80"/>
        <item x="103"/>
        <item x="30"/>
        <item x="95"/>
        <item x="133"/>
        <item x="111"/>
        <item x="165"/>
        <item x="127"/>
        <item x="72"/>
        <item x="131"/>
        <item x="168"/>
        <item x="122"/>
        <item x="132"/>
        <item x="174"/>
        <item x="76"/>
        <item x="51"/>
        <item x="10"/>
        <item x="74"/>
        <item x="73"/>
        <item x="41"/>
        <item x="167"/>
        <item x="4"/>
        <item x="134"/>
        <item x="161"/>
        <item x="148"/>
        <item x="130"/>
        <item x="6"/>
        <item x="162"/>
        <item x="102"/>
        <item x="99"/>
        <item x="23"/>
        <item x="42"/>
        <item x="172"/>
        <item x="71"/>
        <item x="109"/>
        <item x="13"/>
        <item x="171"/>
        <item x="83"/>
        <item x="123"/>
        <item x="64"/>
        <item x="40"/>
        <item x="125"/>
        <item x="105"/>
        <item x="62"/>
        <item x="7"/>
        <item x="169"/>
        <item x="86"/>
        <item x="104"/>
        <item x="120"/>
        <item x="61"/>
        <item x="59"/>
        <item x="142"/>
        <item x="81"/>
        <item x="135"/>
        <item x="90"/>
        <item x="22"/>
        <item x="136"/>
        <item x="39"/>
        <item x="177"/>
        <item x="138"/>
        <item x="28"/>
        <item x="16"/>
        <item x="84"/>
        <item x="157"/>
        <item x="1"/>
        <item x="21"/>
        <item x="38"/>
        <item x="153"/>
        <item x="160"/>
        <item x="43"/>
        <item x="67"/>
        <item x="19"/>
        <item x="60"/>
        <item x="97"/>
        <item x="147"/>
        <item x="52"/>
        <item x="57"/>
        <item x="77"/>
        <item x="155"/>
        <item x="69"/>
        <item x="156"/>
        <item t="default"/>
      </items>
    </pivotField>
    <pivotField compact="0" outline="0" subtotalTop="0" showAll="0" includeNewItemsInFilter="1">
      <items count="27">
        <item x="18"/>
        <item x="21"/>
        <item x="24"/>
        <item x="3"/>
        <item x="7"/>
        <item x="8"/>
        <item x="16"/>
        <item x="6"/>
        <item x="4"/>
        <item x="5"/>
        <item x="0"/>
        <item x="15"/>
        <item x="20"/>
        <item x="9"/>
        <item x="10"/>
        <item x="13"/>
        <item x="11"/>
        <item x="23"/>
        <item x="14"/>
        <item x="2"/>
        <item x="12"/>
        <item x="22"/>
        <item x="1"/>
        <item x="19"/>
        <item x="17"/>
        <item x="25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numFmtId="184" showAll="0" includeNewItemsInFilter="1">
      <items count="86">
        <item x="66"/>
        <item x="35"/>
        <item x="44"/>
        <item x="68"/>
        <item x="76"/>
        <item x="75"/>
        <item x="80"/>
        <item x="31"/>
        <item x="21"/>
        <item x="5"/>
        <item x="27"/>
        <item x="33"/>
        <item x="24"/>
        <item x="36"/>
        <item x="42"/>
        <item x="71"/>
        <item x="73"/>
        <item x="22"/>
        <item x="0"/>
        <item x="43"/>
        <item x="12"/>
        <item x="72"/>
        <item x="3"/>
        <item x="78"/>
        <item x="37"/>
        <item x="47"/>
        <item x="79"/>
        <item x="84"/>
        <item x="18"/>
        <item x="49"/>
        <item x="4"/>
        <item x="15"/>
        <item x="10"/>
        <item x="64"/>
        <item x="50"/>
        <item x="32"/>
        <item x="53"/>
        <item x="55"/>
        <item x="26"/>
        <item x="29"/>
        <item x="58"/>
        <item x="13"/>
        <item x="51"/>
        <item x="60"/>
        <item x="46"/>
        <item x="45"/>
        <item x="2"/>
        <item x="1"/>
        <item x="74"/>
        <item x="57"/>
        <item x="8"/>
        <item x="9"/>
        <item x="56"/>
        <item x="41"/>
        <item x="34"/>
        <item x="17"/>
        <item x="70"/>
        <item x="25"/>
        <item x="81"/>
        <item x="30"/>
        <item x="14"/>
        <item x="67"/>
        <item x="62"/>
        <item x="7"/>
        <item x="59"/>
        <item x="82"/>
        <item x="48"/>
        <item x="28"/>
        <item x="61"/>
        <item x="77"/>
        <item x="40"/>
        <item x="11"/>
        <item x="16"/>
        <item x="52"/>
        <item x="6"/>
        <item x="83"/>
        <item x="65"/>
        <item x="54"/>
        <item x="39"/>
        <item x="63"/>
        <item x="20"/>
        <item x="69"/>
        <item x="19"/>
        <item x="23"/>
        <item x="38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0">
        <item x="6"/>
        <item x="7"/>
        <item x="1"/>
        <item x="5"/>
        <item x="0"/>
        <item x="2"/>
        <item x="4"/>
        <item x="3"/>
        <item x="8"/>
        <item t="default"/>
      </items>
    </pivotField>
    <pivotField compact="0" outline="0" subtotalTop="0" showAll="0" includeNewItemsInFilter="1">
      <items count="21">
        <item x="16"/>
        <item x="19"/>
        <item x="17"/>
        <item x="2"/>
        <item x="3"/>
        <item x="12"/>
        <item x="10"/>
        <item x="8"/>
        <item x="7"/>
        <item x="6"/>
        <item x="1"/>
        <item x="14"/>
        <item x="0"/>
        <item x="5"/>
        <item x="13"/>
        <item x="15"/>
        <item x="11"/>
        <item x="4"/>
        <item x="18"/>
        <item x="9"/>
        <item t="default"/>
      </items>
    </pivotField>
  </pivotFields>
  <rowFields count="1">
    <field x="2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Actual Sales" fld="6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D3:E10" firstHeaderRow="2" firstDataRow="2" firstDataCol="1"/>
  <pivotFields count="15"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compact="0" sortType="ascending" outline="0" subtotalTop="0" showAll="0" includeNewItemsInFilter="1">
      <items count="6">
        <item x="4"/>
        <item x="3"/>
        <item x="2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dataField="1" compact="0" outline="0" subtotalTop="0" numFmtId="9" showAll="0" includeNewItemsInFilter="1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compact="0" outline="0" subtotalTop="0" numFmtId="180" showAll="0" includeNewItemsInFilter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compact="0" outline="0" subtotalTop="0" showAll="0" includeNewItemsIn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numFmtId="184" showAll="0" includeNewItemsInFilter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Average of Achievement %" fld="7" subtotal="average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G3:H10" firstHeaderRow="2" firstDataRow="2" firstDataCol="1"/>
  <pivotFields count="15"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compact="0" outline="0" subtotalTop="0" showAll="0" includeNewItemsInFilter="1">
      <items count="6"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outline="0" subtotalTop="0" numFmtId="9" showAll="0" includeNewItemsInFilter="1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compact="0" outline="0" subtotalTop="0" numFmtId="180" showAll="0" includeNewItemsInFilter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compact="0" outline="0" subtotalTop="0" showAll="0" includeNewItemsIn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dataField="1" compact="0" outline="0" subtotalTop="0" numFmtId="184" showAll="0" includeNewItemsInFilter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ttendance %" fld="11" subtotal="average" baseField="0" baseItem="0"/>
  </dataFields>
  <formats count="8"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</format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J3:K8" firstHeaderRow="2" firstDataRow="2" firstDataCol="1"/>
  <pivotFields count="15"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ubtotalTop="0" showAll="0" includeNewItemsInFilter="1">
      <items count="6"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dataField="1"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outline="0" subtotalTop="0" numFmtId="9" showAll="0" includeNewItemsInFilter="1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compact="0" outline="0" subtotalTop="0" numFmtId="180" showAll="0" includeNewItemsInFilter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compact="0" outline="0" subtotalTop="0" showAll="0" includeNewItemsIn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numFmtId="184" showAll="0" includeNewItemsInFilter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 Sales" fld="6" baseField="0" baseItem="0"/>
  </dataFields>
  <formats count="3"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</format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12:B24" firstHeaderRow="2" firstDataRow="2" firstDataCol="1"/>
  <pivotFields count="15"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measureFilter="1" compact="0" sortType="ascending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>
      <items count="6"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dataField="1" compact="0" outline="0" subtotalTop="0" numFmtId="180" showAll="0" includeNewItemsInFilter="1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compact="0" outline="0" subtotalTop="0" numFmtId="9" showAll="0" includeNewItemsInFilter="1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compact="0" outline="0" subtotalTop="0" numFmtId="180" showAll="0" includeNewItemsInFilter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compact="0" outline="0" subtotalTop="0" showAll="0" includeNewItemsIn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numFmtId="184" showAll="0" includeNewItemsInFilter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1"/>
  </rowFields>
  <rowItems count="11">
    <i>
      <x v="16"/>
    </i>
    <i>
      <x v="12"/>
    </i>
    <i>
      <x v="57"/>
    </i>
    <i>
      <x v="6"/>
    </i>
    <i>
      <x/>
    </i>
    <i>
      <x v="52"/>
    </i>
    <i>
      <x v="11"/>
    </i>
    <i>
      <x v="17"/>
    </i>
    <i>
      <x v="37"/>
    </i>
    <i>
      <x v="42"/>
    </i>
    <i t="grand">
      <x/>
    </i>
  </rowItems>
  <colItems count="1">
    <i/>
  </colItems>
  <dataFields count="1">
    <dataField name="Sum of Actual Sales" fld="6" baseField="0" baseItem="0"/>
  </dataFields>
  <formats count="11"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</formats>
  <pivotTableStyleInfo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4">
  <location ref="D13:E19" firstHeaderRow="2" firstDataRow="2" firstDataCol="1"/>
  <pivotFields count="15">
    <pivotField compact="0" outline="0" subtotalTop="0" showAll="0" includeNewItemsIn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ubtotalTop="0" showAll="0" includeNewItemsInFilter="1">
      <items count="61">
        <item x="23"/>
        <item x="43"/>
        <item x="9"/>
        <item x="2"/>
        <item x="12"/>
        <item x="32"/>
        <item x="52"/>
        <item x="4"/>
        <item x="24"/>
        <item x="44"/>
        <item x="13"/>
        <item x="33"/>
        <item x="53"/>
        <item x="11"/>
        <item x="14"/>
        <item x="34"/>
        <item x="54"/>
        <item x="5"/>
        <item x="15"/>
        <item x="35"/>
        <item x="55"/>
        <item x="25"/>
        <item x="45"/>
        <item x="8"/>
        <item x="16"/>
        <item x="36"/>
        <item x="56"/>
        <item x="6"/>
        <item x="26"/>
        <item x="46"/>
        <item x="17"/>
        <item x="37"/>
        <item x="57"/>
        <item x="27"/>
        <item x="47"/>
        <item x="18"/>
        <item x="38"/>
        <item x="58"/>
        <item x="1"/>
        <item x="28"/>
        <item x="48"/>
        <item x="10"/>
        <item x="19"/>
        <item x="39"/>
        <item x="59"/>
        <item x="0"/>
        <item x="20"/>
        <item x="40"/>
        <item x="29"/>
        <item x="49"/>
        <item x="7"/>
        <item x="21"/>
        <item x="41"/>
        <item x="30"/>
        <item x="50"/>
        <item x="3"/>
        <item x="22"/>
        <item x="42"/>
        <item x="31"/>
        <item x="51"/>
        <item t="default"/>
      </items>
    </pivotField>
    <pivotField compact="0" outline="0" subtotalTop="0" showAll="0" includeNewItemsInFilter="1">
      <items count="6">
        <item x="4"/>
        <item x="3"/>
        <item x="2"/>
        <item x="1"/>
        <item x="0"/>
        <item t="default"/>
      </items>
    </pivotField>
    <pivotField axis="axisRow" compact="0" outline="0" subtotalTop="0" showAll="0" includeNewItemsInFilter="1">
      <items count="5">
        <item x="1"/>
        <item x="0"/>
        <item x="2"/>
        <item x="3"/>
        <item t="default"/>
      </items>
    </pivotField>
    <pivotField compact="0" outline="0" subtotalTop="0" showAll="0" includeNewItemsInFilter="1">
      <items count="4">
        <item x="1"/>
        <item x="0"/>
        <item x="2"/>
        <item t="default"/>
      </items>
    </pivotField>
    <pivotField compact="0" outline="0" subtotalTop="0" showAll="0" includeNewItemsInFilter="1">
      <items count="181">
        <item x="30"/>
        <item x="140"/>
        <item x="124"/>
        <item x="15"/>
        <item x="79"/>
        <item x="130"/>
        <item x="4"/>
        <item x="59"/>
        <item x="164"/>
        <item x="99"/>
        <item x="8"/>
        <item x="64"/>
        <item x="145"/>
        <item x="10"/>
        <item x="38"/>
        <item x="13"/>
        <item x="159"/>
        <item x="75"/>
        <item x="135"/>
        <item x="44"/>
        <item x="144"/>
        <item x="48"/>
        <item x="88"/>
        <item x="98"/>
        <item x="49"/>
        <item x="163"/>
        <item x="21"/>
        <item x="50"/>
        <item x="81"/>
        <item x="19"/>
        <item x="83"/>
        <item x="170"/>
        <item x="68"/>
        <item x="63"/>
        <item x="90"/>
        <item x="58"/>
        <item x="153"/>
        <item x="95"/>
        <item x="53"/>
        <item x="136"/>
        <item x="169"/>
        <item x="31"/>
        <item x="134"/>
        <item x="151"/>
        <item x="118"/>
        <item x="28"/>
        <item x="9"/>
        <item x="5"/>
        <item x="133"/>
        <item x="61"/>
        <item x="146"/>
        <item x="29"/>
        <item x="176"/>
        <item x="178"/>
        <item x="93"/>
        <item x="125"/>
        <item x="113"/>
        <item x="39"/>
        <item x="173"/>
        <item x="165"/>
        <item x="168"/>
        <item x="89"/>
        <item x="7"/>
        <item x="3"/>
        <item x="74"/>
        <item x="85"/>
        <item x="150"/>
        <item x="34"/>
        <item x="73"/>
        <item x="103"/>
        <item x="36"/>
        <item x="139"/>
        <item x="45"/>
        <item x="67"/>
        <item x="154"/>
        <item x="101"/>
        <item x="65"/>
        <item x="105"/>
        <item x="123"/>
        <item x="114"/>
        <item x="86"/>
        <item x="23"/>
        <item x="127"/>
        <item x="175"/>
        <item x="56"/>
        <item x="80"/>
        <item x="149"/>
        <item x="55"/>
        <item x="35"/>
        <item x="143"/>
        <item x="109"/>
        <item x="108"/>
        <item x="128"/>
        <item x="141"/>
        <item x="148"/>
        <item x="70"/>
        <item x="33"/>
        <item x="24"/>
        <item x="152"/>
        <item x="106"/>
        <item x="174"/>
        <item x="43"/>
        <item x="166"/>
        <item x="20"/>
        <item x="156"/>
        <item x="158"/>
        <item x="155"/>
        <item x="6"/>
        <item x="121"/>
        <item x="40"/>
        <item x="115"/>
        <item x="16"/>
        <item x="25"/>
        <item x="57"/>
        <item x="37"/>
        <item x="104"/>
        <item x="96"/>
        <item x="120"/>
        <item x="52"/>
        <item x="107"/>
        <item x="22"/>
        <item x="100"/>
        <item x="14"/>
        <item x="94"/>
        <item x="110"/>
        <item x="160"/>
        <item x="122"/>
        <item x="119"/>
        <item x="78"/>
        <item x="84"/>
        <item x="41"/>
        <item x="18"/>
        <item x="179"/>
        <item x="46"/>
        <item x="111"/>
        <item x="91"/>
        <item x="116"/>
        <item x="2"/>
        <item x="69"/>
        <item x="76"/>
        <item x="54"/>
        <item x="1"/>
        <item x="129"/>
        <item x="87"/>
        <item x="131"/>
        <item x="72"/>
        <item x="117"/>
        <item x="62"/>
        <item x="171"/>
        <item x="138"/>
        <item x="161"/>
        <item x="26"/>
        <item x="47"/>
        <item x="51"/>
        <item x="112"/>
        <item x="17"/>
        <item x="157"/>
        <item x="142"/>
        <item x="147"/>
        <item x="12"/>
        <item x="126"/>
        <item x="60"/>
        <item x="42"/>
        <item x="162"/>
        <item x="167"/>
        <item x="0"/>
        <item x="27"/>
        <item x="32"/>
        <item x="137"/>
        <item x="82"/>
        <item x="11"/>
        <item x="71"/>
        <item x="102"/>
        <item x="97"/>
        <item x="66"/>
        <item x="172"/>
        <item x="177"/>
        <item x="132"/>
        <item x="77"/>
        <item x="92"/>
        <item t="default"/>
      </items>
    </pivotField>
    <pivotField dataField="1" compact="0" outline="0" subtotalTop="0" showAll="0" includeNewItemsInFilter="1">
      <items count="181">
        <item x="130"/>
        <item x="79"/>
        <item x="8"/>
        <item x="48"/>
        <item x="159"/>
        <item x="44"/>
        <item x="68"/>
        <item x="146"/>
        <item x="88"/>
        <item x="15"/>
        <item x="65"/>
        <item x="5"/>
        <item x="145"/>
        <item x="176"/>
        <item x="63"/>
        <item x="164"/>
        <item x="125"/>
        <item x="115"/>
        <item x="150"/>
        <item x="35"/>
        <item x="31"/>
        <item x="140"/>
        <item x="106"/>
        <item x="100"/>
        <item x="50"/>
        <item x="53"/>
        <item x="36"/>
        <item x="56"/>
        <item x="151"/>
        <item x="30"/>
        <item x="3"/>
        <item x="75"/>
        <item x="118"/>
        <item x="108"/>
        <item x="121"/>
        <item x="45"/>
        <item x="98"/>
        <item x="179"/>
        <item x="58"/>
        <item x="9"/>
        <item x="94"/>
        <item x="96"/>
        <item x="33"/>
        <item x="153"/>
        <item x="144"/>
        <item x="34"/>
        <item x="49"/>
        <item x="174"/>
        <item x="20"/>
        <item x="147"/>
        <item x="152"/>
        <item x="89"/>
        <item x="165"/>
        <item x="29"/>
        <item x="4"/>
        <item x="93"/>
        <item x="10"/>
        <item x="142"/>
        <item x="110"/>
        <item x="24"/>
        <item x="85"/>
        <item x="47"/>
        <item x="17"/>
        <item x="25"/>
        <item x="129"/>
        <item x="123"/>
        <item x="55"/>
        <item x="124"/>
        <item x="95"/>
        <item x="101"/>
        <item x="14"/>
        <item x="127"/>
        <item x="99"/>
        <item x="141"/>
        <item x="134"/>
        <item x="160"/>
        <item x="135"/>
        <item x="54"/>
        <item x="78"/>
        <item x="113"/>
        <item x="70"/>
        <item x="64"/>
        <item x="169"/>
        <item x="155"/>
        <item x="0"/>
        <item x="138"/>
        <item x="103"/>
        <item x="59"/>
        <item x="133"/>
        <item x="13"/>
        <item x="114"/>
        <item x="112"/>
        <item x="163"/>
        <item x="171"/>
        <item x="37"/>
        <item x="116"/>
        <item x="107"/>
        <item x="91"/>
        <item x="80"/>
        <item x="12"/>
        <item x="74"/>
        <item x="168"/>
        <item x="18"/>
        <item x="83"/>
        <item x="73"/>
        <item x="117"/>
        <item x="119"/>
        <item x="175"/>
        <item x="128"/>
        <item x="170"/>
        <item x="38"/>
        <item x="87"/>
        <item x="167"/>
        <item x="81"/>
        <item x="173"/>
        <item x="166"/>
        <item x="149"/>
        <item x="136"/>
        <item x="90"/>
        <item x="46"/>
        <item x="11"/>
        <item x="2"/>
        <item x="21"/>
        <item x="61"/>
        <item x="23"/>
        <item x="7"/>
        <item x="19"/>
        <item x="105"/>
        <item x="28"/>
        <item x="26"/>
        <item x="66"/>
        <item x="109"/>
        <item x="122"/>
        <item x="178"/>
        <item x="39"/>
        <item x="111"/>
        <item x="86"/>
        <item x="6"/>
        <item x="139"/>
        <item x="41"/>
        <item x="143"/>
        <item x="154"/>
        <item x="67"/>
        <item x="76"/>
        <item x="40"/>
        <item x="72"/>
        <item x="104"/>
        <item x="27"/>
        <item x="120"/>
        <item x="131"/>
        <item x="32"/>
        <item x="148"/>
        <item x="43"/>
        <item x="92"/>
        <item x="158"/>
        <item x="16"/>
        <item x="22"/>
        <item x="51"/>
        <item x="82"/>
        <item x="84"/>
        <item x="57"/>
        <item x="156"/>
        <item x="52"/>
        <item x="62"/>
        <item x="177"/>
        <item x="1"/>
        <item x="162"/>
        <item x="42"/>
        <item x="161"/>
        <item x="132"/>
        <item x="126"/>
        <item x="69"/>
        <item x="102"/>
        <item x="71"/>
        <item x="172"/>
        <item x="60"/>
        <item x="137"/>
        <item x="157"/>
        <item x="97"/>
        <item x="77"/>
        <item t="default"/>
      </items>
    </pivotField>
    <pivotField compact="0" outline="0" subtotalTop="0" numFmtId="9" showAll="0" includeNewItemsInFilter="1">
      <items count="106">
        <item x="80"/>
        <item x="31"/>
        <item x="89"/>
        <item x="70"/>
        <item x="60"/>
        <item x="40"/>
        <item x="88"/>
        <item x="85"/>
        <item x="42"/>
        <item x="5"/>
        <item x="46"/>
        <item x="27"/>
        <item x="63"/>
        <item x="95"/>
        <item x="102"/>
        <item x="11"/>
        <item x="4"/>
        <item x="24"/>
        <item x="0"/>
        <item x="104"/>
        <item x="75"/>
        <item x="30"/>
        <item x="51"/>
        <item x="90"/>
        <item x="77"/>
        <item x="39"/>
        <item x="37"/>
        <item x="56"/>
        <item x="65"/>
        <item x="58"/>
        <item x="25"/>
        <item x="79"/>
        <item x="67"/>
        <item x="8"/>
        <item x="3"/>
        <item x="20"/>
        <item x="22"/>
        <item x="7"/>
        <item x="66"/>
        <item x="28"/>
        <item x="101"/>
        <item x="99"/>
        <item x="35"/>
        <item x="10"/>
        <item x="13"/>
        <item x="87"/>
        <item x="82"/>
        <item x="34"/>
        <item x="91"/>
        <item x="41"/>
        <item x="92"/>
        <item x="33"/>
        <item x="100"/>
        <item x="15"/>
        <item x="9"/>
        <item x="73"/>
        <item x="14"/>
        <item x="97"/>
        <item x="96"/>
        <item x="45"/>
        <item x="72"/>
        <item x="23"/>
        <item x="71"/>
        <item x="6"/>
        <item x="53"/>
        <item x="44"/>
        <item x="52"/>
        <item x="94"/>
        <item x="84"/>
        <item x="98"/>
        <item x="54"/>
        <item x="12"/>
        <item x="36"/>
        <item x="38"/>
        <item x="64"/>
        <item x="55"/>
        <item x="43"/>
        <item x="18"/>
        <item x="50"/>
        <item x="76"/>
        <item x="26"/>
        <item x="49"/>
        <item x="93"/>
        <item x="78"/>
        <item x="61"/>
        <item x="83"/>
        <item x="59"/>
        <item x="17"/>
        <item x="74"/>
        <item x="21"/>
        <item x="16"/>
        <item x="2"/>
        <item x="32"/>
        <item x="48"/>
        <item x="86"/>
        <item x="29"/>
        <item x="103"/>
        <item x="69"/>
        <item x="68"/>
        <item x="47"/>
        <item x="62"/>
        <item x="19"/>
        <item x="57"/>
        <item x="81"/>
        <item x="1"/>
        <item t="default"/>
      </items>
    </pivotField>
    <pivotField compact="0" outline="0" subtotalTop="0" showAll="0" includeNewItemsInFilter="1">
      <items count="180">
        <item x="146"/>
        <item x="141"/>
        <item x="100"/>
        <item x="115"/>
        <item x="17"/>
        <item x="0"/>
        <item x="65"/>
        <item x="106"/>
        <item x="47"/>
        <item x="145"/>
        <item x="178"/>
        <item x="48"/>
        <item x="68"/>
        <item x="129"/>
        <item x="35"/>
        <item x="121"/>
        <item x="175"/>
        <item x="5"/>
        <item x="44"/>
        <item x="8"/>
        <item x="79"/>
        <item x="94"/>
        <item x="158"/>
        <item x="112"/>
        <item x="12"/>
        <item x="11"/>
        <item x="96"/>
        <item x="149"/>
        <item x="56"/>
        <item x="128"/>
        <item x="124"/>
        <item x="108"/>
        <item x="166"/>
        <item x="88"/>
        <item x="66"/>
        <item x="63"/>
        <item x="36"/>
        <item x="110"/>
        <item x="137"/>
        <item x="54"/>
        <item x="3"/>
        <item x="33"/>
        <item x="173"/>
        <item x="170"/>
        <item x="45"/>
        <item x="20"/>
        <item x="31"/>
        <item x="151"/>
        <item x="25"/>
        <item x="14"/>
        <item x="150"/>
        <item x="53"/>
        <item x="159"/>
        <item x="50"/>
        <item x="144"/>
        <item x="78"/>
        <item x="24"/>
        <item x="117"/>
        <item x="15"/>
        <item x="118"/>
        <item x="116"/>
        <item x="91"/>
        <item x="34"/>
        <item x="92"/>
        <item x="163"/>
        <item x="9"/>
        <item x="154"/>
        <item x="18"/>
        <item x="140"/>
        <item x="89"/>
        <item x="164"/>
        <item x="87"/>
        <item x="107"/>
        <item x="55"/>
        <item x="75"/>
        <item x="70"/>
        <item x="37"/>
        <item x="93"/>
        <item x="27"/>
        <item x="58"/>
        <item x="29"/>
        <item x="85"/>
        <item x="126"/>
        <item x="32"/>
        <item x="152"/>
        <item x="101"/>
        <item x="26"/>
        <item x="119"/>
        <item x="98"/>
        <item x="139"/>
        <item x="2"/>
        <item x="82"/>
        <item x="46"/>
        <item x="49"/>
        <item x="176"/>
        <item x="143"/>
        <item x="114"/>
        <item x="113"/>
        <item x="80"/>
        <item x="103"/>
        <item x="30"/>
        <item x="95"/>
        <item x="133"/>
        <item x="111"/>
        <item x="165"/>
        <item x="127"/>
        <item x="72"/>
        <item x="131"/>
        <item x="168"/>
        <item x="122"/>
        <item x="132"/>
        <item x="174"/>
        <item x="76"/>
        <item x="51"/>
        <item x="10"/>
        <item x="74"/>
        <item x="73"/>
        <item x="41"/>
        <item x="167"/>
        <item x="4"/>
        <item x="134"/>
        <item x="161"/>
        <item x="148"/>
        <item x="130"/>
        <item x="6"/>
        <item x="162"/>
        <item x="102"/>
        <item x="99"/>
        <item x="23"/>
        <item x="42"/>
        <item x="172"/>
        <item x="71"/>
        <item x="109"/>
        <item x="13"/>
        <item x="171"/>
        <item x="83"/>
        <item x="123"/>
        <item x="64"/>
        <item x="40"/>
        <item x="125"/>
        <item x="105"/>
        <item x="62"/>
        <item x="7"/>
        <item x="169"/>
        <item x="86"/>
        <item x="104"/>
        <item x="120"/>
        <item x="61"/>
        <item x="59"/>
        <item x="142"/>
        <item x="81"/>
        <item x="135"/>
        <item x="90"/>
        <item x="22"/>
        <item x="136"/>
        <item x="39"/>
        <item x="177"/>
        <item x="138"/>
        <item x="28"/>
        <item x="16"/>
        <item x="84"/>
        <item x="157"/>
        <item x="1"/>
        <item x="21"/>
        <item x="38"/>
        <item x="153"/>
        <item x="160"/>
        <item x="43"/>
        <item x="67"/>
        <item x="19"/>
        <item x="60"/>
        <item x="97"/>
        <item x="147"/>
        <item x="52"/>
        <item x="57"/>
        <item x="77"/>
        <item x="155"/>
        <item x="69"/>
        <item x="156"/>
        <item t="default"/>
      </items>
    </pivotField>
    <pivotField compact="0" outline="0" subtotalTop="0" showAll="0" includeNewItemsInFilter="1">
      <items count="27">
        <item x="18"/>
        <item x="21"/>
        <item x="24"/>
        <item x="3"/>
        <item x="7"/>
        <item x="8"/>
        <item x="16"/>
        <item x="6"/>
        <item x="4"/>
        <item x="5"/>
        <item x="0"/>
        <item x="15"/>
        <item x="20"/>
        <item x="9"/>
        <item x="10"/>
        <item x="13"/>
        <item x="11"/>
        <item x="23"/>
        <item x="14"/>
        <item x="2"/>
        <item x="12"/>
        <item x="22"/>
        <item x="1"/>
        <item x="19"/>
        <item x="17"/>
        <item x="25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>
      <items count="86">
        <item x="66"/>
        <item x="35"/>
        <item x="44"/>
        <item x="68"/>
        <item x="76"/>
        <item x="75"/>
        <item x="80"/>
        <item x="31"/>
        <item x="21"/>
        <item x="5"/>
        <item x="27"/>
        <item x="33"/>
        <item x="24"/>
        <item x="36"/>
        <item x="42"/>
        <item x="71"/>
        <item x="73"/>
        <item x="22"/>
        <item x="0"/>
        <item x="43"/>
        <item x="12"/>
        <item x="72"/>
        <item x="3"/>
        <item x="78"/>
        <item x="37"/>
        <item x="47"/>
        <item x="79"/>
        <item x="84"/>
        <item x="18"/>
        <item x="49"/>
        <item x="4"/>
        <item x="15"/>
        <item x="10"/>
        <item x="64"/>
        <item x="50"/>
        <item x="32"/>
        <item x="53"/>
        <item x="55"/>
        <item x="26"/>
        <item x="29"/>
        <item x="58"/>
        <item x="13"/>
        <item x="51"/>
        <item x="60"/>
        <item x="46"/>
        <item x="45"/>
        <item x="2"/>
        <item x="1"/>
        <item x="74"/>
        <item x="57"/>
        <item x="8"/>
        <item x="9"/>
        <item x="56"/>
        <item x="41"/>
        <item x="34"/>
        <item x="17"/>
        <item x="70"/>
        <item x="25"/>
        <item x="81"/>
        <item x="30"/>
        <item x="14"/>
        <item x="67"/>
        <item x="62"/>
        <item x="7"/>
        <item x="59"/>
        <item x="82"/>
        <item x="48"/>
        <item x="28"/>
        <item x="61"/>
        <item x="77"/>
        <item x="40"/>
        <item x="11"/>
        <item x="16"/>
        <item x="52"/>
        <item x="6"/>
        <item x="83"/>
        <item x="65"/>
        <item x="54"/>
        <item x="39"/>
        <item x="63"/>
        <item x="20"/>
        <item x="69"/>
        <item x="19"/>
        <item x="23"/>
        <item x="38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0">
        <item x="6"/>
        <item x="7"/>
        <item x="1"/>
        <item x="5"/>
        <item x="0"/>
        <item x="2"/>
        <item x="4"/>
        <item x="3"/>
        <item x="8"/>
        <item t="default"/>
      </items>
    </pivotField>
    <pivotField compact="0" outline="0" subtotalTop="0" showAll="0" includeNewItemsInFilter="1">
      <items count="21">
        <item x="16"/>
        <item x="19"/>
        <item x="17"/>
        <item x="2"/>
        <item x="3"/>
        <item x="12"/>
        <item x="10"/>
        <item x="8"/>
        <item x="7"/>
        <item x="6"/>
        <item x="1"/>
        <item x="14"/>
        <item x="0"/>
        <item x="5"/>
        <item x="13"/>
        <item x="15"/>
        <item x="11"/>
        <item x="4"/>
        <item x="18"/>
        <item x="9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tual Sales" fld="6" baseField="0" baseItem="0"/>
  </dataFields>
  <formats count="3"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</formats>
  <pivotTableStyleInfo showRowHeaders="1" showColHeader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6" name="PivotTable1"/>
    <pivotTable tabId="6" name="PivotTable2"/>
    <pivotTable tabId="6" name="PivotTable3"/>
    <pivotTable tabId="6" name="PivotTable5"/>
    <pivotTable tabId="6" name="PivotTable6"/>
    <pivotTable tabId="6" name="PivotTable4"/>
  </pivotTables>
  <data>
    <tabular pivotCacheId="1">
      <items count="5">
        <i x="4" s="1"/>
        <i x="3" s="1"/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6" name="PivotTable5"/>
    <pivotTable tabId="6" name="PivotTable1"/>
    <pivotTable tabId="6" name="PivotTable2"/>
    <pivotTable tabId="6" name="PivotTable3"/>
    <pivotTable tabId="6" name="PivotTable6"/>
    <pivotTable tabId="6" name="PivotTable4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6" name="PivotTable4"/>
    <pivotTable tabId="6" name="PivotTable1"/>
    <pivotTable tabId="6" name="PivotTable2"/>
    <pivotTable tabId="6" name="PivotTable3"/>
    <pivotTable tabId="6" name="PivotTable5"/>
    <pivotTable tabId="6" name="PivotTable6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ployee_Name" sourceName="Employee Name">
  <pivotTables>
    <pivotTable tabId="6" name="PivotTable6"/>
    <pivotTable tabId="6" name="PivotTable1"/>
    <pivotTable tabId="6" name="PivotTable2"/>
    <pivotTable tabId="6" name="PivotTable3"/>
    <pivotTable tabId="6" name="PivotTable5"/>
    <pivotTable tabId="6" name="PivotTable4"/>
  </pivotTables>
  <data>
    <tabular pivotCacheId="1">
      <items count="60">
        <i x="23" s="1"/>
        <i x="43" s="1"/>
        <i x="9" s="1"/>
        <i x="2" s="1"/>
        <i x="12" s="1"/>
        <i x="32" s="1"/>
        <i x="52" s="1"/>
        <i x="4" s="1"/>
        <i x="24" s="1"/>
        <i x="44" s="1"/>
        <i x="13" s="1"/>
        <i x="33" s="1"/>
        <i x="53" s="1"/>
        <i x="11" s="1"/>
        <i x="14" s="1"/>
        <i x="34" s="1"/>
        <i x="54" s="1"/>
        <i x="5" s="1"/>
        <i x="15" s="1"/>
        <i x="35" s="1"/>
        <i x="55" s="1"/>
        <i x="25" s="1"/>
        <i x="45" s="1"/>
        <i x="8" s="1"/>
        <i x="16" s="1"/>
        <i x="36" s="1"/>
        <i x="56" s="1"/>
        <i x="6" s="1"/>
        <i x="26" s="1"/>
        <i x="46" s="1"/>
        <i x="17" s="1"/>
        <i x="37" s="1"/>
        <i x="57" s="1"/>
        <i x="27" s="1"/>
        <i x="47" s="1"/>
        <i x="18" s="1"/>
        <i x="38" s="1"/>
        <i x="58" s="1"/>
        <i x="1" s="1"/>
        <i x="28" s="1"/>
        <i x="48" s="1"/>
        <i x="10" s="1"/>
        <i x="19" s="1"/>
        <i x="39" s="1"/>
        <i x="59" s="1"/>
        <i x="0" s="1"/>
        <i x="20" s="1"/>
        <i x="40" s="1"/>
        <i x="29" s="1"/>
        <i x="49" s="1"/>
        <i x="7" s="1"/>
        <i x="21" s="1"/>
        <i x="41" s="1"/>
        <i x="30" s="1"/>
        <i x="50" s="1"/>
        <i x="3" s="1"/>
        <i x="22" s="1"/>
        <i x="42" s="1"/>
        <i x="31" s="1"/>
        <i x="5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Other2" rowHeight="225425"/>
  <slicer name="Month" cache="Slicer_Month" caption="Month" style="SlicerStyleOther2" rowHeight="225425"/>
  <slicer name="Location" cache="Slicer_Location" caption="Location" style="SlicerStyleOther2" rowHeight="225425"/>
  <slicer name="Employee Name" cache="Slicer_Employee_Name" caption="Employee Name" columnCount="3" style="SlicerStyleOther2" rowHeight="225425"/>
</slicers>
</file>

<file path=xl/tables/table1.xml><?xml version="1.0" encoding="utf-8"?>
<table xmlns="http://schemas.openxmlformats.org/spreadsheetml/2006/main" id="1" name="RawDataTable" displayName="RawDataTable" ref="A1:O181">
  <autoFilter xmlns:etc="http://www.wps.cn/officeDocument/2017/etCustomData" ref="A1:O181" etc:filterBottomFollowUsedRange="0"/>
  <tableColumns count="15">
    <tableColumn id="1" name="Employee ID" dataDxfId="28"/>
    <tableColumn id="2" name="Employee Name" dataDxfId="29"/>
    <tableColumn id="3" name="Department" dataDxfId="30"/>
    <tableColumn id="4" name="Location" dataDxfId="31"/>
    <tableColumn id="5" name="Month" dataDxfId="32"/>
    <tableColumn id="6" name="Target Sales" dataDxfId="33"/>
    <tableColumn id="7" name="Actual Sales" dataDxfId="34"/>
    <tableColumn id="8" name="Achievement %" dataDxfId="35">
      <calculatedColumnFormula>MIN(G2/F2,1)</calculatedColumnFormula>
    </tableColumn>
    <tableColumn id="9" name="Sales Variance" dataDxfId="36">
      <calculatedColumnFormula>G2-F2</calculatedColumnFormula>
    </tableColumn>
    <tableColumn id="10" name="Orders" dataDxfId="37"/>
    <tableColumn id="11" name="Performance Status" dataDxfId="38">
      <calculatedColumnFormula>IF(G2&gt;=F2,"Achieved","Not Achieved")</calculatedColumnFormula>
    </tableColumn>
    <tableColumn id="12" name="Attendance %" dataDxfId="39"/>
    <tableColumn id="13" name="Attendance Status" dataDxfId="40">
      <calculatedColumnFormula>IF(L2&gt;90,"Good","Low")</calculatedColumnFormula>
    </tableColumn>
    <tableColumn id="14" name="Customer Complaints" dataDxfId="41"/>
    <tableColumn id="15" name="Rating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319390"/>
    </a:accent1>
    <a:accent2>
      <a:srgbClr val="98DAD8"/>
    </a:accent2>
    <a:accent3>
      <a:srgbClr val="319390"/>
    </a:accent3>
    <a:accent4>
      <a:srgbClr val="98DAD8"/>
    </a:accent4>
    <a:accent5>
      <a:srgbClr val="319390"/>
    </a:accent5>
    <a:accent6>
      <a:srgbClr val="98DAD8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1"/>
  <sheetViews>
    <sheetView zoomScale="95" zoomScaleNormal="95" workbookViewId="0">
      <pane ySplit="1" topLeftCell="A21" activePane="bottomLeft" state="frozen"/>
      <selection/>
      <selection pane="bottomLeft" activeCell="O175" sqref="O175"/>
    </sheetView>
  </sheetViews>
  <sheetFormatPr defaultColWidth="9" defaultRowHeight="15"/>
  <cols>
    <col min="1" max="1" width="18.5714285714286" customWidth="1"/>
    <col min="2" max="2" width="18.1428571428571" customWidth="1"/>
    <col min="3" max="3" width="13.4285714285714" customWidth="1"/>
    <col min="4" max="4" width="13.2857142857143" customWidth="1"/>
    <col min="5" max="5" width="11.2857142857143" customWidth="1"/>
    <col min="6" max="7" width="14" customWidth="1"/>
    <col min="8" max="8" width="17.5714285714286" customWidth="1"/>
    <col min="9" max="9" width="16.1428571428571" customWidth="1"/>
    <col min="10" max="10" width="12" customWidth="1"/>
    <col min="11" max="11" width="21.2857142857143" style="22" customWidth="1"/>
    <col min="12" max="12" width="14" style="22" customWidth="1"/>
    <col min="13" max="13" width="22.9428571428571" customWidth="1"/>
    <col min="14" max="14" width="21" customWidth="1"/>
    <col min="15" max="15" width="12" customWidth="1"/>
  </cols>
  <sheetData>
    <row r="1" ht="15.75" spans="1:1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 t="s">
        <v>11</v>
      </c>
      <c r="M1" s="23" t="s">
        <v>12</v>
      </c>
      <c r="N1" s="23" t="s">
        <v>13</v>
      </c>
      <c r="O1" s="23" t="s">
        <v>14</v>
      </c>
    </row>
    <row r="2" spans="1:15">
      <c r="A2" s="25" t="s">
        <v>15</v>
      </c>
      <c r="B2" s="25" t="s">
        <v>16</v>
      </c>
      <c r="C2" s="25" t="s">
        <v>17</v>
      </c>
      <c r="D2" s="25" t="s">
        <v>18</v>
      </c>
      <c r="E2" s="25" t="s">
        <v>19</v>
      </c>
      <c r="F2" s="26">
        <v>63476</v>
      </c>
      <c r="G2" s="26">
        <v>48953</v>
      </c>
      <c r="H2" s="27">
        <f t="shared" ref="H2:H65" si="0">MIN(G2/F2,1)</f>
        <v>0.771204864830802</v>
      </c>
      <c r="I2" s="26">
        <f t="shared" ref="I2:I65" si="1">G2-F2</f>
        <v>-14523</v>
      </c>
      <c r="J2" s="25">
        <v>20</v>
      </c>
      <c r="K2" s="28" t="str">
        <f t="shared" ref="K2:K65" si="2">IF(G2&gt;=F2,"Achieved","Not Achieved")</f>
        <v>Not Achieved</v>
      </c>
      <c r="L2" s="28">
        <v>90.7</v>
      </c>
      <c r="M2" s="29" t="str">
        <f t="shared" ref="M2:M65" si="3">IF(L2&gt;90,"Good","Low")</f>
        <v>Good</v>
      </c>
      <c r="N2" s="25">
        <v>4</v>
      </c>
      <c r="O2" s="25">
        <v>4.3</v>
      </c>
    </row>
    <row r="3" spans="1:15">
      <c r="A3" s="25" t="s">
        <v>20</v>
      </c>
      <c r="B3" s="25" t="s">
        <v>21</v>
      </c>
      <c r="C3" s="25" t="s">
        <v>22</v>
      </c>
      <c r="D3" s="25" t="s">
        <v>18</v>
      </c>
      <c r="E3" s="25" t="s">
        <v>19</v>
      </c>
      <c r="F3" s="26">
        <v>57135</v>
      </c>
      <c r="G3" s="26">
        <v>64586</v>
      </c>
      <c r="H3" s="27">
        <f t="shared" si="0"/>
        <v>1</v>
      </c>
      <c r="I3" s="26">
        <f t="shared" si="1"/>
        <v>7451</v>
      </c>
      <c r="J3" s="25">
        <v>32</v>
      </c>
      <c r="K3" s="28" t="str">
        <f t="shared" si="2"/>
        <v>Achieved</v>
      </c>
      <c r="L3" s="28">
        <v>94.5</v>
      </c>
      <c r="M3" s="29" t="str">
        <f t="shared" si="3"/>
        <v>Good</v>
      </c>
      <c r="N3" s="25">
        <v>4</v>
      </c>
      <c r="O3" s="25">
        <v>4.1</v>
      </c>
    </row>
    <row r="4" spans="1:15">
      <c r="A4" s="25" t="s">
        <v>23</v>
      </c>
      <c r="B4" s="25" t="s">
        <v>24</v>
      </c>
      <c r="C4" s="25" t="s">
        <v>17</v>
      </c>
      <c r="D4" s="25" t="s">
        <v>25</v>
      </c>
      <c r="E4" s="25" t="s">
        <v>19</v>
      </c>
      <c r="F4" s="26">
        <v>56811</v>
      </c>
      <c r="G4" s="26">
        <v>54110</v>
      </c>
      <c r="H4" s="27">
        <f t="shared" si="0"/>
        <v>0.952456390487758</v>
      </c>
      <c r="I4" s="26">
        <f t="shared" si="1"/>
        <v>-2701</v>
      </c>
      <c r="J4" s="25">
        <v>29</v>
      </c>
      <c r="K4" s="28" t="str">
        <f t="shared" si="2"/>
        <v>Not Achieved</v>
      </c>
      <c r="L4" s="28">
        <v>94.2</v>
      </c>
      <c r="M4" s="29" t="str">
        <f t="shared" si="3"/>
        <v>Good</v>
      </c>
      <c r="N4" s="25">
        <v>2</v>
      </c>
      <c r="O4" s="25">
        <v>3.4</v>
      </c>
    </row>
    <row r="5" spans="1:15">
      <c r="A5" s="25" t="s">
        <v>26</v>
      </c>
      <c r="B5" s="25" t="s">
        <v>27</v>
      </c>
      <c r="C5" s="25" t="s">
        <v>28</v>
      </c>
      <c r="D5" s="25" t="s">
        <v>25</v>
      </c>
      <c r="E5" s="25" t="s">
        <v>19</v>
      </c>
      <c r="F5" s="26">
        <v>49873</v>
      </c>
      <c r="G5" s="26">
        <v>40966</v>
      </c>
      <c r="H5" s="27">
        <f t="shared" si="0"/>
        <v>0.821406372185351</v>
      </c>
      <c r="I5" s="26">
        <f t="shared" si="1"/>
        <v>-8907</v>
      </c>
      <c r="J5" s="25">
        <v>13</v>
      </c>
      <c r="K5" s="28" t="str">
        <f t="shared" si="2"/>
        <v>Not Achieved</v>
      </c>
      <c r="L5" s="28">
        <v>91.1</v>
      </c>
      <c r="M5" s="29" t="str">
        <f t="shared" si="3"/>
        <v>Good</v>
      </c>
      <c r="N5" s="25">
        <v>5</v>
      </c>
      <c r="O5" s="25">
        <v>3.5</v>
      </c>
    </row>
    <row r="6" spans="1:15">
      <c r="A6" s="25" t="s">
        <v>29</v>
      </c>
      <c r="B6" s="25" t="s">
        <v>30</v>
      </c>
      <c r="C6" s="25" t="s">
        <v>31</v>
      </c>
      <c r="D6" s="25" t="s">
        <v>18</v>
      </c>
      <c r="E6" s="25" t="s">
        <v>19</v>
      </c>
      <c r="F6" s="26">
        <v>43615</v>
      </c>
      <c r="G6" s="26">
        <v>45410</v>
      </c>
      <c r="H6" s="27">
        <f t="shared" si="0"/>
        <v>1</v>
      </c>
      <c r="I6" s="26">
        <f t="shared" si="1"/>
        <v>1795</v>
      </c>
      <c r="J6" s="25">
        <v>18</v>
      </c>
      <c r="K6" s="28" t="str">
        <f t="shared" si="2"/>
        <v>Achieved</v>
      </c>
      <c r="L6" s="28">
        <v>91.1</v>
      </c>
      <c r="M6" s="29" t="str">
        <f t="shared" si="3"/>
        <v>Good</v>
      </c>
      <c r="N6" s="25">
        <v>4</v>
      </c>
      <c r="O6" s="25">
        <v>4.8</v>
      </c>
    </row>
    <row r="7" spans="1:15">
      <c r="A7" s="25" t="s">
        <v>32</v>
      </c>
      <c r="B7" s="25" t="s">
        <v>33</v>
      </c>
      <c r="C7" s="25" t="s">
        <v>34</v>
      </c>
      <c r="D7" s="25" t="s">
        <v>35</v>
      </c>
      <c r="E7" s="25" t="s">
        <v>19</v>
      </c>
      <c r="F7" s="26">
        <v>48674</v>
      </c>
      <c r="G7" s="26">
        <v>37122</v>
      </c>
      <c r="H7" s="27">
        <f t="shared" si="0"/>
        <v>0.762665899658955</v>
      </c>
      <c r="I7" s="26">
        <f t="shared" si="1"/>
        <v>-11552</v>
      </c>
      <c r="J7" s="25">
        <v>18</v>
      </c>
      <c r="K7" s="28" t="str">
        <f t="shared" si="2"/>
        <v>Not Achieved</v>
      </c>
      <c r="L7" s="28">
        <v>91.9</v>
      </c>
      <c r="M7" s="29" t="str">
        <f t="shared" si="3"/>
        <v>Good</v>
      </c>
      <c r="N7" s="25">
        <v>2</v>
      </c>
      <c r="O7" s="25">
        <v>4.4</v>
      </c>
    </row>
    <row r="8" spans="1:15">
      <c r="A8" s="25" t="s">
        <v>36</v>
      </c>
      <c r="B8" s="25" t="s">
        <v>37</v>
      </c>
      <c r="C8" s="25" t="s">
        <v>17</v>
      </c>
      <c r="D8" s="25" t="s">
        <v>18</v>
      </c>
      <c r="E8" s="25" t="s">
        <v>19</v>
      </c>
      <c r="F8" s="26">
        <v>53711</v>
      </c>
      <c r="G8" s="26">
        <v>56701</v>
      </c>
      <c r="H8" s="27">
        <f t="shared" si="0"/>
        <v>1</v>
      </c>
      <c r="I8" s="26">
        <f t="shared" si="1"/>
        <v>2990</v>
      </c>
      <c r="J8" s="25">
        <v>19</v>
      </c>
      <c r="K8" s="28" t="str">
        <f t="shared" si="2"/>
        <v>Achieved</v>
      </c>
      <c r="L8" s="28">
        <v>89.4</v>
      </c>
      <c r="M8" s="29" t="str">
        <f t="shared" si="3"/>
        <v>Low</v>
      </c>
      <c r="N8" s="25">
        <v>4</v>
      </c>
      <c r="O8" s="25">
        <v>4</v>
      </c>
    </row>
    <row r="9" spans="1:15">
      <c r="A9" s="25" t="s">
        <v>38</v>
      </c>
      <c r="B9" s="25" t="s">
        <v>39</v>
      </c>
      <c r="C9" s="25" t="s">
        <v>22</v>
      </c>
      <c r="D9" s="25" t="s">
        <v>35</v>
      </c>
      <c r="E9" s="25" t="s">
        <v>19</v>
      </c>
      <c r="F9" s="26">
        <v>49803</v>
      </c>
      <c r="G9" s="26">
        <v>54859</v>
      </c>
      <c r="H9" s="27">
        <f t="shared" si="0"/>
        <v>1</v>
      </c>
      <c r="I9" s="26">
        <f t="shared" si="1"/>
        <v>5056</v>
      </c>
      <c r="J9" s="25">
        <v>17</v>
      </c>
      <c r="K9" s="28" t="str">
        <f t="shared" si="2"/>
        <v>Achieved</v>
      </c>
      <c r="L9" s="28">
        <v>97.7</v>
      </c>
      <c r="M9" s="29" t="str">
        <f t="shared" si="3"/>
        <v>Good</v>
      </c>
      <c r="N9" s="25">
        <v>2</v>
      </c>
      <c r="O9" s="25">
        <v>4.3</v>
      </c>
    </row>
    <row r="10" spans="1:15">
      <c r="A10" s="25" t="s">
        <v>40</v>
      </c>
      <c r="B10" s="25" t="s">
        <v>41</v>
      </c>
      <c r="C10" s="25" t="s">
        <v>28</v>
      </c>
      <c r="D10" s="25" t="s">
        <v>42</v>
      </c>
      <c r="E10" s="25" t="s">
        <v>19</v>
      </c>
      <c r="F10" s="26">
        <v>44139</v>
      </c>
      <c r="G10" s="26">
        <v>32710</v>
      </c>
      <c r="H10" s="27">
        <f t="shared" si="0"/>
        <v>0.741067989759623</v>
      </c>
      <c r="I10" s="26">
        <f t="shared" si="1"/>
        <v>-11429</v>
      </c>
      <c r="J10" s="25">
        <v>14</v>
      </c>
      <c r="K10" s="28" t="str">
        <f t="shared" si="2"/>
        <v>Not Achieved</v>
      </c>
      <c r="L10" s="28">
        <v>96.5</v>
      </c>
      <c r="M10" s="29" t="str">
        <f t="shared" si="3"/>
        <v>Good</v>
      </c>
      <c r="N10" s="25">
        <v>7</v>
      </c>
      <c r="O10" s="25">
        <v>4</v>
      </c>
    </row>
    <row r="11" spans="1:15">
      <c r="A11" s="25" t="s">
        <v>43</v>
      </c>
      <c r="B11" s="25" t="s">
        <v>44</v>
      </c>
      <c r="C11" s="25" t="s">
        <v>34</v>
      </c>
      <c r="D11" s="25" t="s">
        <v>18</v>
      </c>
      <c r="E11" s="25" t="s">
        <v>19</v>
      </c>
      <c r="F11" s="26">
        <v>48654</v>
      </c>
      <c r="G11" s="26">
        <v>43538</v>
      </c>
      <c r="H11" s="27">
        <f t="shared" si="0"/>
        <v>0.894849344349899</v>
      </c>
      <c r="I11" s="26">
        <f t="shared" si="1"/>
        <v>-5116</v>
      </c>
      <c r="J11" s="25">
        <v>15</v>
      </c>
      <c r="K11" s="28" t="str">
        <f t="shared" si="2"/>
        <v>Not Achieved</v>
      </c>
      <c r="L11" s="28">
        <v>95</v>
      </c>
      <c r="M11" s="29" t="str">
        <f t="shared" si="3"/>
        <v>Good</v>
      </c>
      <c r="N11" s="25">
        <v>2</v>
      </c>
      <c r="O11" s="25">
        <v>4.4</v>
      </c>
    </row>
    <row r="12" spans="1:15">
      <c r="A12" s="25" t="s">
        <v>45</v>
      </c>
      <c r="B12" s="25" t="s">
        <v>46</v>
      </c>
      <c r="C12" s="25" t="s">
        <v>31</v>
      </c>
      <c r="D12" s="25" t="s">
        <v>42</v>
      </c>
      <c r="E12" s="25" t="s">
        <v>19</v>
      </c>
      <c r="F12" s="26">
        <v>44432</v>
      </c>
      <c r="G12" s="26">
        <v>45689</v>
      </c>
      <c r="H12" s="27">
        <f t="shared" si="0"/>
        <v>1</v>
      </c>
      <c r="I12" s="26">
        <f t="shared" si="1"/>
        <v>1257</v>
      </c>
      <c r="J12" s="25">
        <v>14</v>
      </c>
      <c r="K12" s="28" t="str">
        <f t="shared" si="2"/>
        <v>Achieved</v>
      </c>
      <c r="L12" s="28">
        <v>95.1</v>
      </c>
      <c r="M12" s="29" t="str">
        <f t="shared" si="3"/>
        <v>Good</v>
      </c>
      <c r="N12" s="25">
        <v>2</v>
      </c>
      <c r="O12" s="25">
        <v>3.9</v>
      </c>
    </row>
    <row r="13" spans="1:15">
      <c r="A13" s="25" t="s">
        <v>47</v>
      </c>
      <c r="B13" s="25" t="s">
        <v>48</v>
      </c>
      <c r="C13" s="25" t="s">
        <v>17</v>
      </c>
      <c r="D13" s="25" t="s">
        <v>35</v>
      </c>
      <c r="E13" s="25" t="s">
        <v>19</v>
      </c>
      <c r="F13" s="26">
        <v>64946</v>
      </c>
      <c r="G13" s="26">
        <v>54075</v>
      </c>
      <c r="H13" s="27">
        <f t="shared" si="0"/>
        <v>0.832614787669756</v>
      </c>
      <c r="I13" s="26">
        <f t="shared" si="1"/>
        <v>-10871</v>
      </c>
      <c r="J13" s="25">
        <v>19</v>
      </c>
      <c r="K13" s="28" t="str">
        <f t="shared" si="2"/>
        <v>Not Achieved</v>
      </c>
      <c r="L13" s="28">
        <v>92.2</v>
      </c>
      <c r="M13" s="29" t="str">
        <f t="shared" si="3"/>
        <v>Good</v>
      </c>
      <c r="N13" s="25">
        <v>6</v>
      </c>
      <c r="O13" s="25">
        <v>4.1</v>
      </c>
    </row>
    <row r="14" spans="1:15">
      <c r="A14" s="25" t="s">
        <v>49</v>
      </c>
      <c r="B14" s="25" t="s">
        <v>50</v>
      </c>
      <c r="C14" s="25" t="s">
        <v>17</v>
      </c>
      <c r="D14" s="25" t="s">
        <v>18</v>
      </c>
      <c r="E14" s="25" t="s">
        <v>19</v>
      </c>
      <c r="F14" s="26">
        <v>62125</v>
      </c>
      <c r="G14" s="26">
        <v>51006</v>
      </c>
      <c r="H14" s="27">
        <f t="shared" si="0"/>
        <v>0.821022132796781</v>
      </c>
      <c r="I14" s="26">
        <f t="shared" si="1"/>
        <v>-11119</v>
      </c>
      <c r="J14" s="25">
        <v>20</v>
      </c>
      <c r="K14" s="28" t="str">
        <f t="shared" si="2"/>
        <v>Not Achieved</v>
      </c>
      <c r="L14" s="28">
        <v>97.3</v>
      </c>
      <c r="M14" s="29" t="str">
        <f t="shared" si="3"/>
        <v>Good</v>
      </c>
      <c r="N14" s="25">
        <v>3</v>
      </c>
      <c r="O14" s="25">
        <v>3.8</v>
      </c>
    </row>
    <row r="15" spans="1:15">
      <c r="A15" s="25" t="s">
        <v>51</v>
      </c>
      <c r="B15" s="25" t="s">
        <v>52</v>
      </c>
      <c r="C15" s="25" t="s">
        <v>22</v>
      </c>
      <c r="D15" s="25" t="s">
        <v>25</v>
      </c>
      <c r="E15" s="25" t="s">
        <v>19</v>
      </c>
      <c r="F15" s="26">
        <v>45525</v>
      </c>
      <c r="G15" s="26">
        <v>49637</v>
      </c>
      <c r="H15" s="27">
        <f t="shared" si="0"/>
        <v>1</v>
      </c>
      <c r="I15" s="26">
        <f t="shared" si="1"/>
        <v>4112</v>
      </c>
      <c r="J15" s="25">
        <v>18</v>
      </c>
      <c r="K15" s="28" t="str">
        <f t="shared" si="2"/>
        <v>Achieved</v>
      </c>
      <c r="L15" s="28">
        <v>90.9</v>
      </c>
      <c r="M15" s="29" t="str">
        <f t="shared" si="3"/>
        <v>Good</v>
      </c>
      <c r="N15" s="25">
        <v>4</v>
      </c>
      <c r="O15" s="25">
        <v>5</v>
      </c>
    </row>
    <row r="16" spans="1:15">
      <c r="A16" s="25" t="s">
        <v>53</v>
      </c>
      <c r="B16" s="25" t="s">
        <v>54</v>
      </c>
      <c r="C16" s="25" t="s">
        <v>28</v>
      </c>
      <c r="D16" s="25" t="s">
        <v>35</v>
      </c>
      <c r="E16" s="25" t="s">
        <v>19</v>
      </c>
      <c r="F16" s="26">
        <v>54762</v>
      </c>
      <c r="G16" s="26">
        <v>47356</v>
      </c>
      <c r="H16" s="27">
        <f t="shared" si="0"/>
        <v>0.864760235199591</v>
      </c>
      <c r="I16" s="26">
        <f t="shared" si="1"/>
        <v>-7406</v>
      </c>
      <c r="J16" s="25">
        <v>15</v>
      </c>
      <c r="K16" s="28" t="str">
        <f t="shared" si="2"/>
        <v>Not Achieved</v>
      </c>
      <c r="L16" s="28">
        <v>93.5</v>
      </c>
      <c r="M16" s="29" t="str">
        <f t="shared" si="3"/>
        <v>Good</v>
      </c>
      <c r="N16" s="25">
        <v>5</v>
      </c>
      <c r="O16" s="25">
        <v>3.7</v>
      </c>
    </row>
    <row r="17" spans="1:15">
      <c r="A17" s="25" t="s">
        <v>55</v>
      </c>
      <c r="B17" s="25" t="s">
        <v>56</v>
      </c>
      <c r="C17" s="25" t="s">
        <v>31</v>
      </c>
      <c r="D17" s="25" t="s">
        <v>42</v>
      </c>
      <c r="E17" s="25" t="s">
        <v>19</v>
      </c>
      <c r="F17" s="26">
        <v>43340</v>
      </c>
      <c r="G17" s="26">
        <v>36486</v>
      </c>
      <c r="H17" s="27">
        <f t="shared" si="0"/>
        <v>0.841855099215505</v>
      </c>
      <c r="I17" s="26">
        <f t="shared" si="1"/>
        <v>-6854</v>
      </c>
      <c r="J17" s="25">
        <v>15</v>
      </c>
      <c r="K17" s="28" t="str">
        <f t="shared" si="2"/>
        <v>Not Achieved</v>
      </c>
      <c r="L17" s="28">
        <v>96.2</v>
      </c>
      <c r="M17" s="29" t="str">
        <f t="shared" si="3"/>
        <v>Good</v>
      </c>
      <c r="N17" s="25">
        <v>0</v>
      </c>
      <c r="O17" s="25">
        <v>3.9</v>
      </c>
    </row>
    <row r="18" spans="1:15">
      <c r="A18" s="25" t="s">
        <v>57</v>
      </c>
      <c r="B18" s="25" t="s">
        <v>58</v>
      </c>
      <c r="C18" s="25" t="s">
        <v>34</v>
      </c>
      <c r="D18" s="25" t="s">
        <v>18</v>
      </c>
      <c r="E18" s="25" t="s">
        <v>19</v>
      </c>
      <c r="F18" s="26">
        <v>54019</v>
      </c>
      <c r="G18" s="26">
        <v>61203</v>
      </c>
      <c r="H18" s="27">
        <f t="shared" si="0"/>
        <v>1</v>
      </c>
      <c r="I18" s="26">
        <f t="shared" si="1"/>
        <v>7184</v>
      </c>
      <c r="J18" s="25">
        <v>23</v>
      </c>
      <c r="K18" s="28" t="str">
        <f t="shared" si="2"/>
        <v>Achieved</v>
      </c>
      <c r="L18" s="28">
        <v>92</v>
      </c>
      <c r="M18" s="29" t="str">
        <f t="shared" si="3"/>
        <v>Good</v>
      </c>
      <c r="N18" s="25">
        <v>4</v>
      </c>
      <c r="O18" s="25">
        <v>4.1</v>
      </c>
    </row>
    <row r="19" spans="1:15">
      <c r="A19" s="25" t="s">
        <v>59</v>
      </c>
      <c r="B19" s="25" t="s">
        <v>60</v>
      </c>
      <c r="C19" s="25" t="s">
        <v>17</v>
      </c>
      <c r="D19" s="25" t="s">
        <v>25</v>
      </c>
      <c r="E19" s="25" t="s">
        <v>19</v>
      </c>
      <c r="F19" s="26">
        <v>61085</v>
      </c>
      <c r="G19" s="26">
        <v>46536</v>
      </c>
      <c r="H19" s="27">
        <f t="shared" si="0"/>
        <v>0.761823688303184</v>
      </c>
      <c r="I19" s="26">
        <f t="shared" si="1"/>
        <v>-14549</v>
      </c>
      <c r="J19" s="25">
        <v>24</v>
      </c>
      <c r="K19" s="28" t="str">
        <f t="shared" si="2"/>
        <v>Not Achieved</v>
      </c>
      <c r="L19" s="28">
        <v>97.5</v>
      </c>
      <c r="M19" s="29" t="str">
        <f t="shared" si="3"/>
        <v>Good</v>
      </c>
      <c r="N19" s="25">
        <v>4</v>
      </c>
      <c r="O19" s="25">
        <v>4.3</v>
      </c>
    </row>
    <row r="20" spans="1:15">
      <c r="A20" s="25" t="s">
        <v>61</v>
      </c>
      <c r="B20" s="25" t="s">
        <v>62</v>
      </c>
      <c r="C20" s="25" t="s">
        <v>22</v>
      </c>
      <c r="D20" s="25" t="s">
        <v>35</v>
      </c>
      <c r="E20" s="25" t="s">
        <v>19</v>
      </c>
      <c r="F20" s="26">
        <v>56149</v>
      </c>
      <c r="G20" s="26">
        <v>51331</v>
      </c>
      <c r="H20" s="27">
        <f t="shared" si="0"/>
        <v>0.914192594703379</v>
      </c>
      <c r="I20" s="26">
        <f t="shared" si="1"/>
        <v>-4818</v>
      </c>
      <c r="J20" s="25">
        <v>26</v>
      </c>
      <c r="K20" s="28" t="str">
        <f t="shared" si="2"/>
        <v>Not Achieved</v>
      </c>
      <c r="L20" s="28">
        <v>92.2</v>
      </c>
      <c r="M20" s="29" t="str">
        <f t="shared" si="3"/>
        <v>Good</v>
      </c>
      <c r="N20" s="25">
        <v>1</v>
      </c>
      <c r="O20" s="25">
        <v>3.8</v>
      </c>
    </row>
    <row r="21" spans="1:15">
      <c r="A21" s="25" t="s">
        <v>63</v>
      </c>
      <c r="B21" s="25" t="s">
        <v>64</v>
      </c>
      <c r="C21" s="25" t="s">
        <v>28</v>
      </c>
      <c r="D21" s="25" t="s">
        <v>42</v>
      </c>
      <c r="E21" s="25" t="s">
        <v>19</v>
      </c>
      <c r="F21" s="26">
        <v>47119</v>
      </c>
      <c r="G21" s="26">
        <v>54974</v>
      </c>
      <c r="H21" s="27">
        <f t="shared" si="0"/>
        <v>1</v>
      </c>
      <c r="I21" s="26">
        <f t="shared" si="1"/>
        <v>7855</v>
      </c>
      <c r="J21" s="25">
        <v>30</v>
      </c>
      <c r="K21" s="28" t="str">
        <f t="shared" si="2"/>
        <v>Achieved</v>
      </c>
      <c r="L21" s="28">
        <v>95.5</v>
      </c>
      <c r="M21" s="29" t="str">
        <f t="shared" si="3"/>
        <v>Good</v>
      </c>
      <c r="N21" s="25">
        <v>6</v>
      </c>
      <c r="O21" s="25">
        <v>4.7</v>
      </c>
    </row>
    <row r="22" spans="1:15">
      <c r="A22" s="25" t="s">
        <v>65</v>
      </c>
      <c r="B22" s="25" t="s">
        <v>66</v>
      </c>
      <c r="C22" s="25" t="s">
        <v>31</v>
      </c>
      <c r="D22" s="25" t="s">
        <v>18</v>
      </c>
      <c r="E22" s="25" t="s">
        <v>19</v>
      </c>
      <c r="F22" s="26">
        <v>53302</v>
      </c>
      <c r="G22" s="26">
        <v>44920</v>
      </c>
      <c r="H22" s="27">
        <f t="shared" si="0"/>
        <v>0.842745112753743</v>
      </c>
      <c r="I22" s="26">
        <f t="shared" si="1"/>
        <v>-8382</v>
      </c>
      <c r="J22" s="25">
        <v>14</v>
      </c>
      <c r="K22" s="28" t="str">
        <f t="shared" si="2"/>
        <v>Not Achieved</v>
      </c>
      <c r="L22" s="28">
        <v>91.7</v>
      </c>
      <c r="M22" s="29" t="str">
        <f t="shared" si="3"/>
        <v>Good</v>
      </c>
      <c r="N22" s="25">
        <v>3</v>
      </c>
      <c r="O22" s="25">
        <v>4.4</v>
      </c>
    </row>
    <row r="23" spans="1:15">
      <c r="A23" s="25" t="s">
        <v>67</v>
      </c>
      <c r="B23" s="25" t="s">
        <v>68</v>
      </c>
      <c r="C23" s="25" t="s">
        <v>34</v>
      </c>
      <c r="D23" s="25" t="s">
        <v>25</v>
      </c>
      <c r="E23" s="25" t="s">
        <v>19</v>
      </c>
      <c r="F23" s="26">
        <v>47053</v>
      </c>
      <c r="G23" s="26">
        <v>54523</v>
      </c>
      <c r="H23" s="27">
        <f t="shared" si="0"/>
        <v>1</v>
      </c>
      <c r="I23" s="26">
        <f t="shared" si="1"/>
        <v>7470</v>
      </c>
      <c r="J23" s="25">
        <v>23</v>
      </c>
      <c r="K23" s="28" t="str">
        <f t="shared" si="2"/>
        <v>Achieved</v>
      </c>
      <c r="L23" s="28">
        <v>98.7</v>
      </c>
      <c r="M23" s="29" t="str">
        <f t="shared" si="3"/>
        <v>Good</v>
      </c>
      <c r="N23" s="25">
        <v>3</v>
      </c>
      <c r="O23" s="25">
        <v>3.6</v>
      </c>
    </row>
    <row r="24" spans="1:15">
      <c r="A24" s="25" t="s">
        <v>69</v>
      </c>
      <c r="B24" s="25" t="s">
        <v>70</v>
      </c>
      <c r="C24" s="25" t="s">
        <v>17</v>
      </c>
      <c r="D24" s="25" t="s">
        <v>35</v>
      </c>
      <c r="E24" s="25" t="s">
        <v>19</v>
      </c>
      <c r="F24" s="26">
        <v>54743</v>
      </c>
      <c r="G24" s="26">
        <v>61336</v>
      </c>
      <c r="H24" s="27">
        <f t="shared" si="0"/>
        <v>1</v>
      </c>
      <c r="I24" s="26">
        <f t="shared" si="1"/>
        <v>6593</v>
      </c>
      <c r="J24" s="25">
        <v>25</v>
      </c>
      <c r="K24" s="28" t="str">
        <f t="shared" si="2"/>
        <v>Achieved</v>
      </c>
      <c r="L24" s="28">
        <v>97.3</v>
      </c>
      <c r="M24" s="29" t="str">
        <f t="shared" si="3"/>
        <v>Good</v>
      </c>
      <c r="N24" s="25">
        <v>2</v>
      </c>
      <c r="O24" s="25">
        <v>4.1</v>
      </c>
    </row>
    <row r="25" spans="1:15">
      <c r="A25" s="25" t="s">
        <v>71</v>
      </c>
      <c r="B25" s="25" t="s">
        <v>72</v>
      </c>
      <c r="C25" s="25" t="s">
        <v>22</v>
      </c>
      <c r="D25" s="25" t="s">
        <v>42</v>
      </c>
      <c r="E25" s="25" t="s">
        <v>19</v>
      </c>
      <c r="F25" s="26">
        <v>51126</v>
      </c>
      <c r="G25" s="26">
        <v>54743</v>
      </c>
      <c r="H25" s="27">
        <f t="shared" si="0"/>
        <v>1</v>
      </c>
      <c r="I25" s="26">
        <f t="shared" si="1"/>
        <v>3617</v>
      </c>
      <c r="J25" s="25">
        <v>18</v>
      </c>
      <c r="K25" s="28" t="str">
        <f t="shared" si="2"/>
        <v>Achieved</v>
      </c>
      <c r="L25" s="28">
        <v>98.5</v>
      </c>
      <c r="M25" s="29" t="str">
        <f t="shared" si="3"/>
        <v>Good</v>
      </c>
      <c r="N25" s="25">
        <v>7</v>
      </c>
      <c r="O25" s="25">
        <v>3.6</v>
      </c>
    </row>
    <row r="26" spans="1:15">
      <c r="A26" s="25" t="s">
        <v>73</v>
      </c>
      <c r="B26" s="25" t="s">
        <v>74</v>
      </c>
      <c r="C26" s="25" t="s">
        <v>28</v>
      </c>
      <c r="D26" s="25" t="s">
        <v>18</v>
      </c>
      <c r="E26" s="25" t="s">
        <v>19</v>
      </c>
      <c r="F26" s="26">
        <v>52813</v>
      </c>
      <c r="G26" s="26">
        <v>45900</v>
      </c>
      <c r="H26" s="27">
        <f t="shared" si="0"/>
        <v>0.86910419783008</v>
      </c>
      <c r="I26" s="26">
        <f t="shared" si="1"/>
        <v>-6913</v>
      </c>
      <c r="J26" s="25">
        <v>24</v>
      </c>
      <c r="K26" s="28" t="str">
        <f t="shared" si="2"/>
        <v>Not Achieved</v>
      </c>
      <c r="L26" s="28">
        <v>89.2</v>
      </c>
      <c r="M26" s="29" t="str">
        <f t="shared" si="3"/>
        <v>Low</v>
      </c>
      <c r="N26" s="25">
        <v>0</v>
      </c>
      <c r="O26" s="25">
        <v>5</v>
      </c>
    </row>
    <row r="27" spans="1:15">
      <c r="A27" s="25" t="s">
        <v>75</v>
      </c>
      <c r="B27" s="25" t="s">
        <v>76</v>
      </c>
      <c r="C27" s="25" t="s">
        <v>31</v>
      </c>
      <c r="D27" s="25" t="s">
        <v>25</v>
      </c>
      <c r="E27" s="25" t="s">
        <v>19</v>
      </c>
      <c r="F27" s="26">
        <v>54218</v>
      </c>
      <c r="G27" s="26">
        <v>46706</v>
      </c>
      <c r="H27" s="27">
        <f t="shared" si="0"/>
        <v>0.861448227525914</v>
      </c>
      <c r="I27" s="26">
        <f t="shared" si="1"/>
        <v>-7512</v>
      </c>
      <c r="J27" s="25">
        <v>24</v>
      </c>
      <c r="K27" s="28" t="str">
        <f t="shared" si="2"/>
        <v>Not Achieved</v>
      </c>
      <c r="L27" s="28">
        <v>90.6</v>
      </c>
      <c r="M27" s="29" t="str">
        <f t="shared" si="3"/>
        <v>Good</v>
      </c>
      <c r="N27" s="25">
        <v>2</v>
      </c>
      <c r="O27" s="25">
        <v>4</v>
      </c>
    </row>
    <row r="28" spans="1:15">
      <c r="A28" s="25" t="s">
        <v>77</v>
      </c>
      <c r="B28" s="25" t="s">
        <v>78</v>
      </c>
      <c r="C28" s="25" t="s">
        <v>34</v>
      </c>
      <c r="D28" s="25" t="s">
        <v>35</v>
      </c>
      <c r="E28" s="25" t="s">
        <v>19</v>
      </c>
      <c r="F28" s="26">
        <v>58991</v>
      </c>
      <c r="G28" s="26">
        <v>55661</v>
      </c>
      <c r="H28" s="27">
        <f t="shared" si="0"/>
        <v>0.943550711125426</v>
      </c>
      <c r="I28" s="26">
        <f t="shared" si="1"/>
        <v>-3330</v>
      </c>
      <c r="J28" s="25">
        <v>28</v>
      </c>
      <c r="K28" s="28" t="str">
        <f t="shared" si="2"/>
        <v>Not Achieved</v>
      </c>
      <c r="L28" s="28">
        <v>98.8</v>
      </c>
      <c r="M28" s="29" t="str">
        <f t="shared" si="3"/>
        <v>Good</v>
      </c>
      <c r="N28" s="25">
        <v>2</v>
      </c>
      <c r="O28" s="25">
        <v>4.1</v>
      </c>
    </row>
    <row r="29" spans="1:15">
      <c r="A29" s="25" t="s">
        <v>79</v>
      </c>
      <c r="B29" s="25" t="s">
        <v>80</v>
      </c>
      <c r="C29" s="25" t="s">
        <v>17</v>
      </c>
      <c r="D29" s="25" t="s">
        <v>42</v>
      </c>
      <c r="E29" s="25" t="s">
        <v>19</v>
      </c>
      <c r="F29" s="26">
        <v>63809</v>
      </c>
      <c r="G29" s="26">
        <v>59893</v>
      </c>
      <c r="H29" s="27">
        <f t="shared" si="0"/>
        <v>0.938629346957326</v>
      </c>
      <c r="I29" s="26">
        <f t="shared" si="1"/>
        <v>-3916</v>
      </c>
      <c r="J29" s="25">
        <v>20</v>
      </c>
      <c r="K29" s="28" t="str">
        <f t="shared" si="2"/>
        <v>Not Achieved</v>
      </c>
      <c r="L29" s="28">
        <v>89.8</v>
      </c>
      <c r="M29" s="29" t="str">
        <f t="shared" si="3"/>
        <v>Low</v>
      </c>
      <c r="N29" s="25">
        <v>0</v>
      </c>
      <c r="O29" s="25">
        <v>4</v>
      </c>
    </row>
    <row r="30" spans="1:15">
      <c r="A30" s="25" t="s">
        <v>81</v>
      </c>
      <c r="B30" s="25" t="s">
        <v>82</v>
      </c>
      <c r="C30" s="25" t="s">
        <v>22</v>
      </c>
      <c r="D30" s="25" t="s">
        <v>18</v>
      </c>
      <c r="E30" s="25" t="s">
        <v>19</v>
      </c>
      <c r="F30" s="26">
        <v>48470</v>
      </c>
      <c r="G30" s="26">
        <v>55610</v>
      </c>
      <c r="H30" s="27">
        <f t="shared" si="0"/>
        <v>1</v>
      </c>
      <c r="I30" s="26">
        <f t="shared" si="1"/>
        <v>7140</v>
      </c>
      <c r="J30" s="25">
        <v>25</v>
      </c>
      <c r="K30" s="28" t="str">
        <f t="shared" si="2"/>
        <v>Achieved</v>
      </c>
      <c r="L30" s="28">
        <v>95.8</v>
      </c>
      <c r="M30" s="29" t="str">
        <f t="shared" si="3"/>
        <v>Good</v>
      </c>
      <c r="N30" s="25">
        <v>1</v>
      </c>
      <c r="O30" s="25">
        <v>4.5</v>
      </c>
    </row>
    <row r="31" spans="1:15">
      <c r="A31" s="25" t="s">
        <v>83</v>
      </c>
      <c r="B31" s="25" t="s">
        <v>84</v>
      </c>
      <c r="C31" s="25" t="s">
        <v>28</v>
      </c>
      <c r="D31" s="25" t="s">
        <v>25</v>
      </c>
      <c r="E31" s="25" t="s">
        <v>19</v>
      </c>
      <c r="F31" s="26">
        <v>49118</v>
      </c>
      <c r="G31" s="26">
        <v>45264</v>
      </c>
      <c r="H31" s="27">
        <f t="shared" si="0"/>
        <v>0.921535893155259</v>
      </c>
      <c r="I31" s="26">
        <f t="shared" si="1"/>
        <v>-3854</v>
      </c>
      <c r="J31" s="25">
        <v>15</v>
      </c>
      <c r="K31" s="28" t="str">
        <f t="shared" si="2"/>
        <v>Not Achieved</v>
      </c>
      <c r="L31" s="28">
        <v>93</v>
      </c>
      <c r="M31" s="29" t="str">
        <f t="shared" si="3"/>
        <v>Good</v>
      </c>
      <c r="N31" s="25">
        <v>3</v>
      </c>
      <c r="O31" s="25">
        <v>4.3</v>
      </c>
    </row>
    <row r="32" spans="1:15">
      <c r="A32" s="25" t="s">
        <v>85</v>
      </c>
      <c r="B32" s="25" t="s">
        <v>86</v>
      </c>
      <c r="C32" s="25" t="s">
        <v>31</v>
      </c>
      <c r="D32" s="25" t="s">
        <v>35</v>
      </c>
      <c r="E32" s="25" t="s">
        <v>19</v>
      </c>
      <c r="F32" s="26">
        <v>41344</v>
      </c>
      <c r="G32" s="26">
        <v>40956</v>
      </c>
      <c r="H32" s="27">
        <f t="shared" si="0"/>
        <v>0.990615325077399</v>
      </c>
      <c r="I32" s="26">
        <f t="shared" si="1"/>
        <v>-388</v>
      </c>
      <c r="J32" s="25">
        <v>18</v>
      </c>
      <c r="K32" s="28" t="str">
        <f t="shared" si="2"/>
        <v>Not Achieved</v>
      </c>
      <c r="L32" s="28">
        <v>94.5</v>
      </c>
      <c r="M32" s="29" t="str">
        <f t="shared" si="3"/>
        <v>Good</v>
      </c>
      <c r="N32" s="25">
        <v>6</v>
      </c>
      <c r="O32" s="25">
        <v>4.1</v>
      </c>
    </row>
    <row r="33" spans="1:15">
      <c r="A33" s="25" t="s">
        <v>87</v>
      </c>
      <c r="B33" s="25" t="s">
        <v>88</v>
      </c>
      <c r="C33" s="25" t="s">
        <v>34</v>
      </c>
      <c r="D33" s="25" t="s">
        <v>42</v>
      </c>
      <c r="E33" s="25" t="s">
        <v>19</v>
      </c>
      <c r="F33" s="26">
        <v>47964</v>
      </c>
      <c r="G33" s="26">
        <v>39585</v>
      </c>
      <c r="H33" s="27">
        <f t="shared" si="0"/>
        <v>0.825306479859895</v>
      </c>
      <c r="I33" s="26">
        <f t="shared" si="1"/>
        <v>-8379</v>
      </c>
      <c r="J33" s="25">
        <v>21</v>
      </c>
      <c r="K33" s="28" t="str">
        <f t="shared" si="2"/>
        <v>Not Achieved</v>
      </c>
      <c r="L33" s="28">
        <v>97.5</v>
      </c>
      <c r="M33" s="29" t="str">
        <f t="shared" si="3"/>
        <v>Good</v>
      </c>
      <c r="N33" s="25">
        <v>4</v>
      </c>
      <c r="O33" s="25">
        <v>4.2</v>
      </c>
    </row>
    <row r="34" spans="1:15">
      <c r="A34" s="25" t="s">
        <v>89</v>
      </c>
      <c r="B34" s="25" t="s">
        <v>90</v>
      </c>
      <c r="C34" s="25" t="s">
        <v>17</v>
      </c>
      <c r="D34" s="25" t="s">
        <v>18</v>
      </c>
      <c r="E34" s="25" t="s">
        <v>19</v>
      </c>
      <c r="F34" s="26">
        <v>63960</v>
      </c>
      <c r="G34" s="26">
        <v>60333</v>
      </c>
      <c r="H34" s="27">
        <f t="shared" si="0"/>
        <v>0.943292682926829</v>
      </c>
      <c r="I34" s="26">
        <f t="shared" si="1"/>
        <v>-3627</v>
      </c>
      <c r="J34" s="25">
        <v>20</v>
      </c>
      <c r="K34" s="28" t="str">
        <f t="shared" si="2"/>
        <v>Not Achieved</v>
      </c>
      <c r="L34" s="28">
        <v>89.5</v>
      </c>
      <c r="M34" s="29" t="str">
        <f t="shared" si="3"/>
        <v>Low</v>
      </c>
      <c r="N34" s="25">
        <v>5</v>
      </c>
      <c r="O34" s="25">
        <v>3.9</v>
      </c>
    </row>
    <row r="35" spans="1:15">
      <c r="A35" s="25" t="s">
        <v>91</v>
      </c>
      <c r="B35" s="25" t="s">
        <v>92</v>
      </c>
      <c r="C35" s="25" t="s">
        <v>22</v>
      </c>
      <c r="D35" s="25" t="s">
        <v>25</v>
      </c>
      <c r="E35" s="25" t="s">
        <v>19</v>
      </c>
      <c r="F35" s="26">
        <v>52744</v>
      </c>
      <c r="G35" s="26">
        <v>43871</v>
      </c>
      <c r="H35" s="27">
        <f t="shared" si="0"/>
        <v>0.831772334293948</v>
      </c>
      <c r="I35" s="26">
        <f t="shared" si="1"/>
        <v>-8873</v>
      </c>
      <c r="J35" s="25">
        <v>15</v>
      </c>
      <c r="K35" s="28" t="str">
        <f t="shared" si="2"/>
        <v>Not Achieved</v>
      </c>
      <c r="L35" s="28">
        <v>96.9</v>
      </c>
      <c r="M35" s="29" t="str">
        <f t="shared" si="3"/>
        <v>Good</v>
      </c>
      <c r="N35" s="25">
        <v>3</v>
      </c>
      <c r="O35" s="25">
        <v>4.3</v>
      </c>
    </row>
    <row r="36" spans="1:15">
      <c r="A36" s="25" t="s">
        <v>93</v>
      </c>
      <c r="B36" s="25" t="s">
        <v>94</v>
      </c>
      <c r="C36" s="25" t="s">
        <v>28</v>
      </c>
      <c r="D36" s="25" t="s">
        <v>35</v>
      </c>
      <c r="E36" s="25" t="s">
        <v>19</v>
      </c>
      <c r="F36" s="26">
        <v>50062</v>
      </c>
      <c r="G36" s="26">
        <v>44204</v>
      </c>
      <c r="H36" s="27">
        <f t="shared" si="0"/>
        <v>0.882985098477887</v>
      </c>
      <c r="I36" s="26">
        <f t="shared" si="1"/>
        <v>-5858</v>
      </c>
      <c r="J36" s="25">
        <v>16</v>
      </c>
      <c r="K36" s="28" t="str">
        <f t="shared" si="2"/>
        <v>Not Achieved</v>
      </c>
      <c r="L36" s="28">
        <v>93.1</v>
      </c>
      <c r="M36" s="29" t="str">
        <f t="shared" si="3"/>
        <v>Good</v>
      </c>
      <c r="N36" s="25">
        <v>3</v>
      </c>
      <c r="O36" s="25">
        <v>3.4</v>
      </c>
    </row>
    <row r="37" spans="1:15">
      <c r="A37" s="25" t="s">
        <v>95</v>
      </c>
      <c r="B37" s="25" t="s">
        <v>96</v>
      </c>
      <c r="C37" s="25" t="s">
        <v>31</v>
      </c>
      <c r="D37" s="25" t="s">
        <v>42</v>
      </c>
      <c r="E37" s="25" t="s">
        <v>19</v>
      </c>
      <c r="F37" s="26">
        <v>51587</v>
      </c>
      <c r="G37" s="26">
        <v>39478</v>
      </c>
      <c r="H37" s="27">
        <f t="shared" si="0"/>
        <v>0.765270320041871</v>
      </c>
      <c r="I37" s="26">
        <f t="shared" si="1"/>
        <v>-12109</v>
      </c>
      <c r="J37" s="25">
        <v>15</v>
      </c>
      <c r="K37" s="28" t="str">
        <f t="shared" si="2"/>
        <v>Not Achieved</v>
      </c>
      <c r="L37" s="28">
        <v>96</v>
      </c>
      <c r="M37" s="29" t="str">
        <f t="shared" si="3"/>
        <v>Good</v>
      </c>
      <c r="N37" s="25">
        <v>3</v>
      </c>
      <c r="O37" s="25">
        <v>3.9</v>
      </c>
    </row>
    <row r="38" spans="1:15">
      <c r="A38" s="25" t="s">
        <v>97</v>
      </c>
      <c r="B38" s="25" t="s">
        <v>98</v>
      </c>
      <c r="C38" s="25" t="s">
        <v>34</v>
      </c>
      <c r="D38" s="25" t="s">
        <v>18</v>
      </c>
      <c r="E38" s="25" t="s">
        <v>19</v>
      </c>
      <c r="F38" s="26">
        <v>50139</v>
      </c>
      <c r="G38" s="26">
        <v>40487</v>
      </c>
      <c r="H38" s="27">
        <f t="shared" si="0"/>
        <v>0.807495163445621</v>
      </c>
      <c r="I38" s="26">
        <f t="shared" si="1"/>
        <v>-9652</v>
      </c>
      <c r="J38" s="25">
        <v>14</v>
      </c>
      <c r="K38" s="28" t="str">
        <f t="shared" si="2"/>
        <v>Not Achieved</v>
      </c>
      <c r="L38" s="28">
        <v>89.5</v>
      </c>
      <c r="M38" s="29" t="str">
        <f t="shared" si="3"/>
        <v>Low</v>
      </c>
      <c r="N38" s="25">
        <v>4</v>
      </c>
      <c r="O38" s="25">
        <v>4.6</v>
      </c>
    </row>
    <row r="39" spans="1:15">
      <c r="A39" s="25" t="s">
        <v>99</v>
      </c>
      <c r="B39" s="25" t="s">
        <v>100</v>
      </c>
      <c r="C39" s="25" t="s">
        <v>17</v>
      </c>
      <c r="D39" s="25" t="s">
        <v>25</v>
      </c>
      <c r="E39" s="25" t="s">
        <v>19</v>
      </c>
      <c r="F39" s="26">
        <v>54235</v>
      </c>
      <c r="G39" s="26">
        <v>50104</v>
      </c>
      <c r="H39" s="27">
        <f t="shared" si="0"/>
        <v>0.923831474140315</v>
      </c>
      <c r="I39" s="26">
        <f t="shared" si="1"/>
        <v>-4131</v>
      </c>
      <c r="J39" s="25">
        <v>17</v>
      </c>
      <c r="K39" s="28" t="str">
        <f t="shared" si="2"/>
        <v>Not Achieved</v>
      </c>
      <c r="L39" s="28">
        <v>89.1</v>
      </c>
      <c r="M39" s="29" t="str">
        <f t="shared" si="3"/>
        <v>Low</v>
      </c>
      <c r="N39" s="25">
        <v>2</v>
      </c>
      <c r="O39" s="25">
        <v>3.6</v>
      </c>
    </row>
    <row r="40" spans="1:15">
      <c r="A40" s="25" t="s">
        <v>101</v>
      </c>
      <c r="B40" s="25" t="s">
        <v>102</v>
      </c>
      <c r="C40" s="25" t="s">
        <v>22</v>
      </c>
      <c r="D40" s="25" t="s">
        <v>35</v>
      </c>
      <c r="E40" s="25" t="s">
        <v>19</v>
      </c>
      <c r="F40" s="26">
        <v>45241</v>
      </c>
      <c r="G40" s="26">
        <v>52739</v>
      </c>
      <c r="H40" s="27">
        <f t="shared" si="0"/>
        <v>1</v>
      </c>
      <c r="I40" s="26">
        <f t="shared" si="1"/>
        <v>7498</v>
      </c>
      <c r="J40" s="25">
        <v>23</v>
      </c>
      <c r="K40" s="28" t="str">
        <f t="shared" si="2"/>
        <v>Achieved</v>
      </c>
      <c r="L40" s="28">
        <v>89.8</v>
      </c>
      <c r="M40" s="29" t="str">
        <f t="shared" si="3"/>
        <v>Low</v>
      </c>
      <c r="N40" s="25">
        <v>2</v>
      </c>
      <c r="O40" s="25">
        <v>4.1</v>
      </c>
    </row>
    <row r="41" spans="1:15">
      <c r="A41" s="25" t="s">
        <v>103</v>
      </c>
      <c r="B41" s="25" t="s">
        <v>104</v>
      </c>
      <c r="C41" s="25" t="s">
        <v>28</v>
      </c>
      <c r="D41" s="25" t="s">
        <v>42</v>
      </c>
      <c r="E41" s="25" t="s">
        <v>19</v>
      </c>
      <c r="F41" s="26">
        <v>49570</v>
      </c>
      <c r="G41" s="26">
        <v>56268</v>
      </c>
      <c r="H41" s="27">
        <f t="shared" si="0"/>
        <v>1</v>
      </c>
      <c r="I41" s="26">
        <f t="shared" si="1"/>
        <v>6698</v>
      </c>
      <c r="J41" s="25">
        <v>26</v>
      </c>
      <c r="K41" s="28" t="str">
        <f t="shared" si="2"/>
        <v>Achieved</v>
      </c>
      <c r="L41" s="28">
        <v>92.2</v>
      </c>
      <c r="M41" s="29" t="str">
        <f t="shared" si="3"/>
        <v>Good</v>
      </c>
      <c r="N41" s="25">
        <v>5</v>
      </c>
      <c r="O41" s="25">
        <v>4.1</v>
      </c>
    </row>
    <row r="42" spans="1:15">
      <c r="A42" s="25" t="s">
        <v>105</v>
      </c>
      <c r="B42" s="25" t="s">
        <v>106</v>
      </c>
      <c r="C42" s="25" t="s">
        <v>31</v>
      </c>
      <c r="D42" s="25" t="s">
        <v>18</v>
      </c>
      <c r="E42" s="25" t="s">
        <v>19</v>
      </c>
      <c r="F42" s="26">
        <v>53846</v>
      </c>
      <c r="G42" s="26">
        <v>58216</v>
      </c>
      <c r="H42" s="27">
        <f t="shared" si="0"/>
        <v>1</v>
      </c>
      <c r="I42" s="26">
        <f t="shared" si="1"/>
        <v>4370</v>
      </c>
      <c r="J42" s="25">
        <v>24</v>
      </c>
      <c r="K42" s="28" t="str">
        <f t="shared" si="2"/>
        <v>Achieved</v>
      </c>
      <c r="L42" s="28">
        <v>92.7</v>
      </c>
      <c r="M42" s="29" t="str">
        <f t="shared" si="3"/>
        <v>Good</v>
      </c>
      <c r="N42" s="25">
        <v>9</v>
      </c>
      <c r="O42" s="25">
        <v>3.7</v>
      </c>
    </row>
    <row r="43" spans="1:15">
      <c r="A43" s="25" t="s">
        <v>107</v>
      </c>
      <c r="B43" s="25" t="s">
        <v>108</v>
      </c>
      <c r="C43" s="25" t="s">
        <v>34</v>
      </c>
      <c r="D43" s="25" t="s">
        <v>25</v>
      </c>
      <c r="E43" s="25" t="s">
        <v>19</v>
      </c>
      <c r="F43" s="26">
        <v>56105</v>
      </c>
      <c r="G43" s="26">
        <v>57477</v>
      </c>
      <c r="H43" s="27">
        <f t="shared" si="0"/>
        <v>1</v>
      </c>
      <c r="I43" s="26">
        <f t="shared" si="1"/>
        <v>1372</v>
      </c>
      <c r="J43" s="25">
        <v>20</v>
      </c>
      <c r="K43" s="28" t="str">
        <f t="shared" si="2"/>
        <v>Achieved</v>
      </c>
      <c r="L43" s="28">
        <v>89.7</v>
      </c>
      <c r="M43" s="29" t="str">
        <f t="shared" si="3"/>
        <v>Low</v>
      </c>
      <c r="N43" s="25">
        <v>1</v>
      </c>
      <c r="O43" s="25">
        <v>5</v>
      </c>
    </row>
    <row r="44" spans="1:15">
      <c r="A44" s="25" t="s">
        <v>109</v>
      </c>
      <c r="B44" s="25" t="s">
        <v>110</v>
      </c>
      <c r="C44" s="25" t="s">
        <v>17</v>
      </c>
      <c r="D44" s="25" t="s">
        <v>35</v>
      </c>
      <c r="E44" s="25" t="s">
        <v>19</v>
      </c>
      <c r="F44" s="26">
        <v>62489</v>
      </c>
      <c r="G44" s="26">
        <v>66141</v>
      </c>
      <c r="H44" s="27">
        <f t="shared" si="0"/>
        <v>1</v>
      </c>
      <c r="I44" s="26">
        <f t="shared" si="1"/>
        <v>3652</v>
      </c>
      <c r="J44" s="25">
        <v>34</v>
      </c>
      <c r="K44" s="28" t="str">
        <f t="shared" si="2"/>
        <v>Achieved</v>
      </c>
      <c r="L44" s="28">
        <v>96.2</v>
      </c>
      <c r="M44" s="29" t="str">
        <f t="shared" si="3"/>
        <v>Good</v>
      </c>
      <c r="N44" s="25">
        <v>5</v>
      </c>
      <c r="O44" s="25">
        <v>4.3</v>
      </c>
    </row>
    <row r="45" spans="1:15">
      <c r="A45" s="25" t="s">
        <v>111</v>
      </c>
      <c r="B45" s="25" t="s">
        <v>112</v>
      </c>
      <c r="C45" s="25" t="s">
        <v>22</v>
      </c>
      <c r="D45" s="25" t="s">
        <v>42</v>
      </c>
      <c r="E45" s="25" t="s">
        <v>19</v>
      </c>
      <c r="F45" s="26">
        <v>53238</v>
      </c>
      <c r="G45" s="26">
        <v>60847</v>
      </c>
      <c r="H45" s="27">
        <f t="shared" si="0"/>
        <v>1</v>
      </c>
      <c r="I45" s="26">
        <f t="shared" si="1"/>
        <v>7609</v>
      </c>
      <c r="J45" s="25">
        <v>21</v>
      </c>
      <c r="K45" s="28" t="str">
        <f t="shared" si="2"/>
        <v>Achieved</v>
      </c>
      <c r="L45" s="28">
        <v>89.7</v>
      </c>
      <c r="M45" s="29" t="str">
        <f t="shared" si="3"/>
        <v>Low</v>
      </c>
      <c r="N45" s="25">
        <v>4</v>
      </c>
      <c r="O45" s="25">
        <v>4.1</v>
      </c>
    </row>
    <row r="46" spans="1:15">
      <c r="A46" s="25" t="s">
        <v>113</v>
      </c>
      <c r="B46" s="25" t="s">
        <v>114</v>
      </c>
      <c r="C46" s="25" t="s">
        <v>28</v>
      </c>
      <c r="D46" s="25" t="s">
        <v>18</v>
      </c>
      <c r="E46" s="25" t="s">
        <v>19</v>
      </c>
      <c r="F46" s="26">
        <v>46044</v>
      </c>
      <c r="G46" s="26">
        <v>34603</v>
      </c>
      <c r="H46" s="27">
        <f t="shared" si="0"/>
        <v>0.751520284944835</v>
      </c>
      <c r="I46" s="26">
        <f t="shared" si="1"/>
        <v>-11441</v>
      </c>
      <c r="J46" s="25">
        <v>17</v>
      </c>
      <c r="K46" s="28" t="str">
        <f t="shared" si="2"/>
        <v>Not Achieved</v>
      </c>
      <c r="L46" s="28">
        <v>95.4</v>
      </c>
      <c r="M46" s="29" t="str">
        <f t="shared" si="3"/>
        <v>Good</v>
      </c>
      <c r="N46" s="25">
        <v>3</v>
      </c>
      <c r="O46" s="25">
        <v>4.3</v>
      </c>
    </row>
    <row r="47" spans="1:15">
      <c r="A47" s="25" t="s">
        <v>115</v>
      </c>
      <c r="B47" s="25" t="s">
        <v>116</v>
      </c>
      <c r="C47" s="25" t="s">
        <v>31</v>
      </c>
      <c r="D47" s="25" t="s">
        <v>25</v>
      </c>
      <c r="E47" s="25" t="s">
        <v>19</v>
      </c>
      <c r="F47" s="26">
        <v>50333</v>
      </c>
      <c r="G47" s="26">
        <v>41940</v>
      </c>
      <c r="H47" s="27">
        <f t="shared" si="0"/>
        <v>0.833250551328155</v>
      </c>
      <c r="I47" s="26">
        <f t="shared" si="1"/>
        <v>-8393</v>
      </c>
      <c r="J47" s="25">
        <v>13</v>
      </c>
      <c r="K47" s="28" t="str">
        <f t="shared" si="2"/>
        <v>Not Achieved</v>
      </c>
      <c r="L47" s="28">
        <v>88.4</v>
      </c>
      <c r="M47" s="29" t="str">
        <f t="shared" si="3"/>
        <v>Low</v>
      </c>
      <c r="N47" s="25">
        <v>6</v>
      </c>
      <c r="O47" s="25">
        <v>4.4</v>
      </c>
    </row>
    <row r="48" spans="1:15">
      <c r="A48" s="25" t="s">
        <v>117</v>
      </c>
      <c r="B48" s="25" t="s">
        <v>118</v>
      </c>
      <c r="C48" s="25" t="s">
        <v>34</v>
      </c>
      <c r="D48" s="25" t="s">
        <v>35</v>
      </c>
      <c r="E48" s="25" t="s">
        <v>19</v>
      </c>
      <c r="F48" s="26">
        <v>56260</v>
      </c>
      <c r="G48" s="26">
        <v>54037</v>
      </c>
      <c r="H48" s="27">
        <f t="shared" si="0"/>
        <v>0.960487024528973</v>
      </c>
      <c r="I48" s="26">
        <f t="shared" si="1"/>
        <v>-2223</v>
      </c>
      <c r="J48" s="25">
        <v>23</v>
      </c>
      <c r="K48" s="28" t="str">
        <f t="shared" si="2"/>
        <v>Not Achieved</v>
      </c>
      <c r="L48" s="28">
        <v>90.2</v>
      </c>
      <c r="M48" s="29" t="str">
        <f t="shared" si="3"/>
        <v>Good</v>
      </c>
      <c r="N48" s="25">
        <v>3</v>
      </c>
      <c r="O48" s="25">
        <v>3.8</v>
      </c>
    </row>
    <row r="49" spans="1:15">
      <c r="A49" s="25" t="s">
        <v>119</v>
      </c>
      <c r="B49" s="25" t="s">
        <v>120</v>
      </c>
      <c r="C49" s="25" t="s">
        <v>17</v>
      </c>
      <c r="D49" s="25" t="s">
        <v>42</v>
      </c>
      <c r="E49" s="25" t="s">
        <v>19</v>
      </c>
      <c r="F49" s="26">
        <v>59484</v>
      </c>
      <c r="G49" s="26">
        <v>46410</v>
      </c>
      <c r="H49" s="27">
        <f t="shared" si="0"/>
        <v>0.780209804317127</v>
      </c>
      <c r="I49" s="26">
        <f t="shared" si="1"/>
        <v>-13074</v>
      </c>
      <c r="J49" s="25">
        <v>14</v>
      </c>
      <c r="K49" s="28" t="str">
        <f t="shared" si="2"/>
        <v>Not Achieved</v>
      </c>
      <c r="L49" s="28">
        <v>91.3</v>
      </c>
      <c r="M49" s="29" t="str">
        <f t="shared" si="3"/>
        <v>Good</v>
      </c>
      <c r="N49" s="25">
        <v>2</v>
      </c>
      <c r="O49" s="25">
        <v>4.8</v>
      </c>
    </row>
    <row r="50" spans="1:15">
      <c r="A50" s="25" t="s">
        <v>121</v>
      </c>
      <c r="B50" s="25" t="s">
        <v>122</v>
      </c>
      <c r="C50" s="25" t="s">
        <v>22</v>
      </c>
      <c r="D50" s="25" t="s">
        <v>18</v>
      </c>
      <c r="E50" s="25" t="s">
        <v>19</v>
      </c>
      <c r="F50" s="26">
        <v>46188</v>
      </c>
      <c r="G50" s="26">
        <v>33453</v>
      </c>
      <c r="H50" s="27">
        <f t="shared" si="0"/>
        <v>0.724279033515199</v>
      </c>
      <c r="I50" s="26">
        <f t="shared" si="1"/>
        <v>-12735</v>
      </c>
      <c r="J50" s="25">
        <v>10</v>
      </c>
      <c r="K50" s="28" t="str">
        <f t="shared" si="2"/>
        <v>Not Achieved</v>
      </c>
      <c r="L50" s="28">
        <v>99</v>
      </c>
      <c r="M50" s="29" t="str">
        <f t="shared" si="3"/>
        <v>Good</v>
      </c>
      <c r="N50" s="25">
        <v>4</v>
      </c>
      <c r="O50" s="25">
        <v>4.1</v>
      </c>
    </row>
    <row r="51" spans="1:15">
      <c r="A51" s="25" t="s">
        <v>123</v>
      </c>
      <c r="B51" s="25" t="s">
        <v>124</v>
      </c>
      <c r="C51" s="25" t="s">
        <v>28</v>
      </c>
      <c r="D51" s="25" t="s">
        <v>25</v>
      </c>
      <c r="E51" s="25" t="s">
        <v>19</v>
      </c>
      <c r="F51" s="26">
        <v>46492</v>
      </c>
      <c r="G51" s="26">
        <v>44293</v>
      </c>
      <c r="H51" s="27">
        <f t="shared" si="0"/>
        <v>0.952701540049901</v>
      </c>
      <c r="I51" s="26">
        <f t="shared" si="1"/>
        <v>-2199</v>
      </c>
      <c r="J51" s="25">
        <v>21</v>
      </c>
      <c r="K51" s="28" t="str">
        <f t="shared" si="2"/>
        <v>Not Achieved</v>
      </c>
      <c r="L51" s="28">
        <v>98.3</v>
      </c>
      <c r="M51" s="29" t="str">
        <f t="shared" si="3"/>
        <v>Good</v>
      </c>
      <c r="N51" s="25">
        <v>6</v>
      </c>
      <c r="O51" s="25">
        <v>3.5</v>
      </c>
    </row>
    <row r="52" spans="1:15">
      <c r="A52" s="25" t="s">
        <v>125</v>
      </c>
      <c r="B52" s="25" t="s">
        <v>126</v>
      </c>
      <c r="C52" s="25" t="s">
        <v>31</v>
      </c>
      <c r="D52" s="25" t="s">
        <v>35</v>
      </c>
      <c r="E52" s="25" t="s">
        <v>19</v>
      </c>
      <c r="F52" s="26">
        <v>47054</v>
      </c>
      <c r="G52" s="26">
        <v>40047</v>
      </c>
      <c r="H52" s="27">
        <f t="shared" si="0"/>
        <v>0.851085986313597</v>
      </c>
      <c r="I52" s="26">
        <f t="shared" si="1"/>
        <v>-7007</v>
      </c>
      <c r="J52" s="25">
        <v>14</v>
      </c>
      <c r="K52" s="28" t="str">
        <f t="shared" si="2"/>
        <v>Not Achieved</v>
      </c>
      <c r="L52" s="28">
        <v>97.2</v>
      </c>
      <c r="M52" s="29" t="str">
        <f t="shared" si="3"/>
        <v>Good</v>
      </c>
      <c r="N52" s="25">
        <v>2</v>
      </c>
      <c r="O52" s="25">
        <v>3.5</v>
      </c>
    </row>
    <row r="53" spans="1:15">
      <c r="A53" s="25" t="s">
        <v>127</v>
      </c>
      <c r="B53" s="25" t="s">
        <v>128</v>
      </c>
      <c r="C53" s="25" t="s">
        <v>34</v>
      </c>
      <c r="D53" s="25" t="s">
        <v>42</v>
      </c>
      <c r="E53" s="25" t="s">
        <v>19</v>
      </c>
      <c r="F53" s="26">
        <v>60223</v>
      </c>
      <c r="G53" s="26">
        <v>61477</v>
      </c>
      <c r="H53" s="27">
        <f t="shared" si="0"/>
        <v>1</v>
      </c>
      <c r="I53" s="26">
        <f t="shared" si="1"/>
        <v>1254</v>
      </c>
      <c r="J53" s="25">
        <v>33</v>
      </c>
      <c r="K53" s="28" t="str">
        <f t="shared" si="2"/>
        <v>Achieved</v>
      </c>
      <c r="L53" s="28">
        <v>95.3</v>
      </c>
      <c r="M53" s="29" t="str">
        <f t="shared" si="3"/>
        <v>Good</v>
      </c>
      <c r="N53" s="25">
        <v>0</v>
      </c>
      <c r="O53" s="25">
        <v>3.7</v>
      </c>
    </row>
    <row r="54" spans="1:15">
      <c r="A54" s="25" t="s">
        <v>129</v>
      </c>
      <c r="B54" s="25" t="s">
        <v>130</v>
      </c>
      <c r="C54" s="25" t="s">
        <v>17</v>
      </c>
      <c r="D54" s="25" t="s">
        <v>18</v>
      </c>
      <c r="E54" s="25" t="s">
        <v>19</v>
      </c>
      <c r="F54" s="26">
        <v>54697</v>
      </c>
      <c r="G54" s="26">
        <v>63006</v>
      </c>
      <c r="H54" s="27">
        <f t="shared" si="0"/>
        <v>1</v>
      </c>
      <c r="I54" s="26">
        <f t="shared" si="1"/>
        <v>8309</v>
      </c>
      <c r="J54" s="25">
        <v>30</v>
      </c>
      <c r="K54" s="28" t="str">
        <f t="shared" si="2"/>
        <v>Achieved</v>
      </c>
      <c r="L54" s="28">
        <v>90.9</v>
      </c>
      <c r="M54" s="29" t="str">
        <f t="shared" si="3"/>
        <v>Good</v>
      </c>
      <c r="N54" s="25">
        <v>6</v>
      </c>
      <c r="O54" s="25">
        <v>3.6</v>
      </c>
    </row>
    <row r="55" spans="1:15">
      <c r="A55" s="25" t="s">
        <v>131</v>
      </c>
      <c r="B55" s="25" t="s">
        <v>132</v>
      </c>
      <c r="C55" s="25" t="s">
        <v>22</v>
      </c>
      <c r="D55" s="25" t="s">
        <v>25</v>
      </c>
      <c r="E55" s="25" t="s">
        <v>19</v>
      </c>
      <c r="F55" s="26">
        <v>47546</v>
      </c>
      <c r="G55" s="26">
        <v>40190</v>
      </c>
      <c r="H55" s="27">
        <f t="shared" si="0"/>
        <v>0.845286669751399</v>
      </c>
      <c r="I55" s="26">
        <f t="shared" si="1"/>
        <v>-7356</v>
      </c>
      <c r="J55" s="25">
        <v>13</v>
      </c>
      <c r="K55" s="28" t="str">
        <f t="shared" si="2"/>
        <v>Not Achieved</v>
      </c>
      <c r="L55" s="28">
        <v>90.3</v>
      </c>
      <c r="M55" s="29" t="str">
        <f t="shared" si="3"/>
        <v>Good</v>
      </c>
      <c r="N55" s="25">
        <v>1</v>
      </c>
      <c r="O55" s="25">
        <v>4.7</v>
      </c>
    </row>
    <row r="56" spans="1:15">
      <c r="A56" s="25" t="s">
        <v>133</v>
      </c>
      <c r="B56" s="25" t="s">
        <v>134</v>
      </c>
      <c r="C56" s="25" t="s">
        <v>28</v>
      </c>
      <c r="D56" s="25" t="s">
        <v>35</v>
      </c>
      <c r="E56" s="25" t="s">
        <v>19</v>
      </c>
      <c r="F56" s="26">
        <v>56974</v>
      </c>
      <c r="G56" s="26">
        <v>47940</v>
      </c>
      <c r="H56" s="27">
        <f t="shared" si="0"/>
        <v>0.841436444694071</v>
      </c>
      <c r="I56" s="26">
        <f t="shared" si="1"/>
        <v>-9034</v>
      </c>
      <c r="J56" s="25">
        <v>17</v>
      </c>
      <c r="K56" s="28" t="str">
        <f t="shared" si="2"/>
        <v>Not Achieved</v>
      </c>
      <c r="L56" s="28">
        <v>90.8</v>
      </c>
      <c r="M56" s="29" t="str">
        <f t="shared" si="3"/>
        <v>Good</v>
      </c>
      <c r="N56" s="25">
        <v>4</v>
      </c>
      <c r="O56" s="25">
        <v>4</v>
      </c>
    </row>
    <row r="57" spans="1:15">
      <c r="A57" s="25" t="s">
        <v>135</v>
      </c>
      <c r="B57" s="25" t="s">
        <v>136</v>
      </c>
      <c r="C57" s="25" t="s">
        <v>31</v>
      </c>
      <c r="D57" s="25" t="s">
        <v>42</v>
      </c>
      <c r="E57" s="25" t="s">
        <v>19</v>
      </c>
      <c r="F57" s="26">
        <v>51392</v>
      </c>
      <c r="G57" s="26">
        <v>47016</v>
      </c>
      <c r="H57" s="27">
        <f t="shared" si="0"/>
        <v>0.914850560398506</v>
      </c>
      <c r="I57" s="26">
        <f t="shared" si="1"/>
        <v>-4376</v>
      </c>
      <c r="J57" s="25">
        <v>19</v>
      </c>
      <c r="K57" s="28" t="str">
        <f t="shared" si="2"/>
        <v>Not Achieved</v>
      </c>
      <c r="L57" s="28">
        <v>88.5</v>
      </c>
      <c r="M57" s="29" t="str">
        <f t="shared" si="3"/>
        <v>Low</v>
      </c>
      <c r="N57" s="25">
        <v>2</v>
      </c>
      <c r="O57" s="25">
        <v>4.3</v>
      </c>
    </row>
    <row r="58" spans="1:15">
      <c r="A58" s="25" t="s">
        <v>137</v>
      </c>
      <c r="B58" s="25" t="s">
        <v>138</v>
      </c>
      <c r="C58" s="25" t="s">
        <v>34</v>
      </c>
      <c r="D58" s="25" t="s">
        <v>18</v>
      </c>
      <c r="E58" s="25" t="s">
        <v>19</v>
      </c>
      <c r="F58" s="26">
        <v>51291</v>
      </c>
      <c r="G58" s="26">
        <v>40742</v>
      </c>
      <c r="H58" s="27">
        <f t="shared" si="0"/>
        <v>0.794330389347059</v>
      </c>
      <c r="I58" s="26">
        <f t="shared" si="1"/>
        <v>-10549</v>
      </c>
      <c r="J58" s="25">
        <v>15</v>
      </c>
      <c r="K58" s="28" t="str">
        <f t="shared" si="2"/>
        <v>Not Achieved</v>
      </c>
      <c r="L58" s="28">
        <v>94.1</v>
      </c>
      <c r="M58" s="29" t="str">
        <f t="shared" si="3"/>
        <v>Good</v>
      </c>
      <c r="N58" s="25">
        <v>3</v>
      </c>
      <c r="O58" s="25">
        <v>4.1</v>
      </c>
    </row>
    <row r="59" spans="1:15">
      <c r="A59" s="25" t="s">
        <v>139</v>
      </c>
      <c r="B59" s="25" t="s">
        <v>140</v>
      </c>
      <c r="C59" s="25" t="s">
        <v>17</v>
      </c>
      <c r="D59" s="25" t="s">
        <v>25</v>
      </c>
      <c r="E59" s="25" t="s">
        <v>19</v>
      </c>
      <c r="F59" s="26">
        <v>54232</v>
      </c>
      <c r="G59" s="26">
        <v>62623</v>
      </c>
      <c r="H59" s="27">
        <f t="shared" si="0"/>
        <v>1</v>
      </c>
      <c r="I59" s="26">
        <f t="shared" si="1"/>
        <v>8391</v>
      </c>
      <c r="J59" s="25">
        <v>29</v>
      </c>
      <c r="K59" s="28" t="str">
        <f t="shared" si="2"/>
        <v>Achieved</v>
      </c>
      <c r="L59" s="28">
        <v>94</v>
      </c>
      <c r="M59" s="29" t="str">
        <f t="shared" si="3"/>
        <v>Good</v>
      </c>
      <c r="N59" s="25">
        <v>4</v>
      </c>
      <c r="O59" s="25">
        <v>3.6</v>
      </c>
    </row>
    <row r="60" spans="1:15">
      <c r="A60" s="25" t="s">
        <v>141</v>
      </c>
      <c r="B60" s="25" t="s">
        <v>142</v>
      </c>
      <c r="C60" s="25" t="s">
        <v>22</v>
      </c>
      <c r="D60" s="25" t="s">
        <v>35</v>
      </c>
      <c r="E60" s="25" t="s">
        <v>19</v>
      </c>
      <c r="F60" s="26">
        <v>47426</v>
      </c>
      <c r="G60" s="26">
        <v>43523</v>
      </c>
      <c r="H60" s="27">
        <f t="shared" si="0"/>
        <v>0.91770336945979</v>
      </c>
      <c r="I60" s="26">
        <f t="shared" si="1"/>
        <v>-3903</v>
      </c>
      <c r="J60" s="25">
        <v>23</v>
      </c>
      <c r="K60" s="28" t="str">
        <f t="shared" si="2"/>
        <v>Not Achieved</v>
      </c>
      <c r="L60" s="28">
        <v>91.4</v>
      </c>
      <c r="M60" s="29" t="str">
        <f t="shared" si="3"/>
        <v>Good</v>
      </c>
      <c r="N60" s="25">
        <v>6</v>
      </c>
      <c r="O60" s="25">
        <v>3.6</v>
      </c>
    </row>
    <row r="61" spans="1:15">
      <c r="A61" s="25" t="s">
        <v>143</v>
      </c>
      <c r="B61" s="25" t="s">
        <v>144</v>
      </c>
      <c r="C61" s="25" t="s">
        <v>28</v>
      </c>
      <c r="D61" s="25" t="s">
        <v>42</v>
      </c>
      <c r="E61" s="25" t="s">
        <v>19</v>
      </c>
      <c r="F61" s="26">
        <v>43653</v>
      </c>
      <c r="G61" s="26">
        <v>49481</v>
      </c>
      <c r="H61" s="27">
        <f t="shared" si="0"/>
        <v>1</v>
      </c>
      <c r="I61" s="26">
        <f t="shared" si="1"/>
        <v>5828</v>
      </c>
      <c r="J61" s="25">
        <v>22</v>
      </c>
      <c r="K61" s="28" t="str">
        <f t="shared" si="2"/>
        <v>Achieved</v>
      </c>
      <c r="L61" s="28">
        <v>95.5</v>
      </c>
      <c r="M61" s="29" t="str">
        <f t="shared" si="3"/>
        <v>Good</v>
      </c>
      <c r="N61" s="25">
        <v>2</v>
      </c>
      <c r="O61" s="25">
        <v>3.7</v>
      </c>
    </row>
    <row r="62" spans="1:15">
      <c r="A62" s="25" t="s">
        <v>15</v>
      </c>
      <c r="B62" s="25" t="s">
        <v>16</v>
      </c>
      <c r="C62" s="25" t="s">
        <v>17</v>
      </c>
      <c r="D62" s="25" t="s">
        <v>18</v>
      </c>
      <c r="E62" s="25" t="s">
        <v>145</v>
      </c>
      <c r="F62" s="26">
        <v>62173</v>
      </c>
      <c r="G62" s="26">
        <v>70050</v>
      </c>
      <c r="H62" s="27">
        <f t="shared" si="0"/>
        <v>1</v>
      </c>
      <c r="I62" s="26">
        <f t="shared" si="1"/>
        <v>7877</v>
      </c>
      <c r="J62" s="25">
        <v>26</v>
      </c>
      <c r="K62" s="28" t="str">
        <f t="shared" si="2"/>
        <v>Achieved</v>
      </c>
      <c r="L62" s="28">
        <v>98.7</v>
      </c>
      <c r="M62" s="29" t="str">
        <f t="shared" si="3"/>
        <v>Good</v>
      </c>
      <c r="N62" s="25">
        <v>3</v>
      </c>
      <c r="O62" s="25">
        <v>3.1</v>
      </c>
    </row>
    <row r="63" spans="1:15">
      <c r="A63" s="25" t="s">
        <v>20</v>
      </c>
      <c r="B63" s="25" t="s">
        <v>21</v>
      </c>
      <c r="C63" s="25" t="s">
        <v>22</v>
      </c>
      <c r="D63" s="25" t="s">
        <v>18</v>
      </c>
      <c r="E63" s="25" t="s">
        <v>145</v>
      </c>
      <c r="F63" s="26">
        <v>48878</v>
      </c>
      <c r="G63" s="26">
        <v>54632</v>
      </c>
      <c r="H63" s="27">
        <f t="shared" si="0"/>
        <v>1</v>
      </c>
      <c r="I63" s="26">
        <f t="shared" si="1"/>
        <v>5754</v>
      </c>
      <c r="J63" s="25">
        <v>25</v>
      </c>
      <c r="K63" s="28" t="str">
        <f t="shared" si="2"/>
        <v>Achieved</v>
      </c>
      <c r="L63" s="28">
        <v>97.7</v>
      </c>
      <c r="M63" s="29" t="str">
        <f t="shared" si="3"/>
        <v>Good</v>
      </c>
      <c r="N63" s="25">
        <v>6</v>
      </c>
      <c r="O63" s="25">
        <v>4.2</v>
      </c>
    </row>
    <row r="64" spans="1:15">
      <c r="A64" s="25" t="s">
        <v>23</v>
      </c>
      <c r="B64" s="25" t="s">
        <v>24</v>
      </c>
      <c r="C64" s="25" t="s">
        <v>17</v>
      </c>
      <c r="D64" s="25" t="s">
        <v>25</v>
      </c>
      <c r="E64" s="25" t="s">
        <v>145</v>
      </c>
      <c r="F64" s="26">
        <v>58442</v>
      </c>
      <c r="G64" s="26">
        <v>63111</v>
      </c>
      <c r="H64" s="27">
        <f t="shared" si="0"/>
        <v>1</v>
      </c>
      <c r="I64" s="26">
        <f t="shared" si="1"/>
        <v>4669</v>
      </c>
      <c r="J64" s="25">
        <v>23</v>
      </c>
      <c r="K64" s="28" t="str">
        <f t="shared" si="2"/>
        <v>Achieved</v>
      </c>
      <c r="L64" s="28">
        <v>96.8</v>
      </c>
      <c r="M64" s="29" t="str">
        <f t="shared" si="3"/>
        <v>Good</v>
      </c>
      <c r="N64" s="25">
        <v>5</v>
      </c>
      <c r="O64" s="25">
        <v>3.5</v>
      </c>
    </row>
    <row r="65" spans="1:15">
      <c r="A65" s="25" t="s">
        <v>26</v>
      </c>
      <c r="B65" s="25" t="s">
        <v>27</v>
      </c>
      <c r="C65" s="25" t="s">
        <v>28</v>
      </c>
      <c r="D65" s="25" t="s">
        <v>25</v>
      </c>
      <c r="E65" s="25" t="s">
        <v>145</v>
      </c>
      <c r="F65" s="26">
        <v>47371</v>
      </c>
      <c r="G65" s="26">
        <v>37576</v>
      </c>
      <c r="H65" s="27">
        <f t="shared" si="0"/>
        <v>0.793227924257457</v>
      </c>
      <c r="I65" s="26">
        <f t="shared" si="1"/>
        <v>-9795</v>
      </c>
      <c r="J65" s="25">
        <v>18</v>
      </c>
      <c r="K65" s="28" t="str">
        <f t="shared" si="2"/>
        <v>Not Achieved</v>
      </c>
      <c r="L65" s="28">
        <v>92.2</v>
      </c>
      <c r="M65" s="29" t="str">
        <f t="shared" si="3"/>
        <v>Good</v>
      </c>
      <c r="N65" s="25">
        <v>5</v>
      </c>
      <c r="O65" s="25">
        <v>4.2</v>
      </c>
    </row>
    <row r="66" spans="1:15">
      <c r="A66" s="25" t="s">
        <v>29</v>
      </c>
      <c r="B66" s="25" t="s">
        <v>30</v>
      </c>
      <c r="C66" s="25" t="s">
        <v>31</v>
      </c>
      <c r="D66" s="25" t="s">
        <v>18</v>
      </c>
      <c r="E66" s="25" t="s">
        <v>145</v>
      </c>
      <c r="F66" s="26">
        <v>44269</v>
      </c>
      <c r="G66" s="26">
        <v>48502</v>
      </c>
      <c r="H66" s="27">
        <f t="shared" ref="H66:H129" si="4">MIN(G66/F66,1)</f>
        <v>1</v>
      </c>
      <c r="I66" s="26">
        <f t="shared" ref="I66:I129" si="5">G66-F66</f>
        <v>4233</v>
      </c>
      <c r="J66" s="25">
        <v>17</v>
      </c>
      <c r="K66" s="28" t="str">
        <f t="shared" ref="K66:K129" si="6">IF(G66&gt;=F66,"Achieved","Not Achieved")</f>
        <v>Achieved</v>
      </c>
      <c r="L66" s="28">
        <v>91.8</v>
      </c>
      <c r="M66" s="29" t="str">
        <f t="shared" ref="M66:M129" si="7">IF(L66&gt;90,"Good","Low")</f>
        <v>Good</v>
      </c>
      <c r="N66" s="25">
        <v>5</v>
      </c>
      <c r="O66" s="25">
        <v>3.3</v>
      </c>
    </row>
    <row r="67" spans="1:15">
      <c r="A67" s="25" t="s">
        <v>32</v>
      </c>
      <c r="B67" s="25" t="s">
        <v>33</v>
      </c>
      <c r="C67" s="25" t="s">
        <v>34</v>
      </c>
      <c r="D67" s="25" t="s">
        <v>35</v>
      </c>
      <c r="E67" s="25" t="s">
        <v>145</v>
      </c>
      <c r="F67" s="26">
        <v>50652</v>
      </c>
      <c r="G67" s="26">
        <v>37021</v>
      </c>
      <c r="H67" s="27">
        <f t="shared" si="4"/>
        <v>0.730889204769802</v>
      </c>
      <c r="I67" s="26">
        <f t="shared" si="5"/>
        <v>-13631</v>
      </c>
      <c r="J67" s="25">
        <v>16</v>
      </c>
      <c r="K67" s="28" t="str">
        <f t="shared" si="6"/>
        <v>Not Achieved</v>
      </c>
      <c r="L67" s="28">
        <v>92.4</v>
      </c>
      <c r="M67" s="29" t="str">
        <f t="shared" si="7"/>
        <v>Good</v>
      </c>
      <c r="N67" s="25">
        <v>3</v>
      </c>
      <c r="O67" s="25">
        <v>4.3</v>
      </c>
    </row>
    <row r="68" spans="1:15">
      <c r="A68" s="25" t="s">
        <v>36</v>
      </c>
      <c r="B68" s="25" t="s">
        <v>37</v>
      </c>
      <c r="C68" s="25" t="s">
        <v>17</v>
      </c>
      <c r="D68" s="25" t="s">
        <v>18</v>
      </c>
      <c r="E68" s="25" t="s">
        <v>145</v>
      </c>
      <c r="F68" s="26">
        <v>65670</v>
      </c>
      <c r="G68" s="26">
        <v>55714</v>
      </c>
      <c r="H68" s="27">
        <f t="shared" si="4"/>
        <v>0.848393482564337</v>
      </c>
      <c r="I68" s="26">
        <f t="shared" si="5"/>
        <v>-9956</v>
      </c>
      <c r="J68" s="25">
        <v>17</v>
      </c>
      <c r="K68" s="28" t="str">
        <f t="shared" si="6"/>
        <v>Not Achieved</v>
      </c>
      <c r="L68" s="28">
        <v>93.6</v>
      </c>
      <c r="M68" s="29" t="str">
        <f t="shared" si="7"/>
        <v>Good</v>
      </c>
      <c r="N68" s="25">
        <v>1</v>
      </c>
      <c r="O68" s="25">
        <v>3.3</v>
      </c>
    </row>
    <row r="69" spans="1:15">
      <c r="A69" s="25" t="s">
        <v>38</v>
      </c>
      <c r="B69" s="25" t="s">
        <v>39</v>
      </c>
      <c r="C69" s="25" t="s">
        <v>22</v>
      </c>
      <c r="D69" s="25" t="s">
        <v>35</v>
      </c>
      <c r="E69" s="25" t="s">
        <v>145</v>
      </c>
      <c r="F69" s="26">
        <v>50425</v>
      </c>
      <c r="G69" s="26">
        <v>58092</v>
      </c>
      <c r="H69" s="27">
        <f t="shared" si="4"/>
        <v>1</v>
      </c>
      <c r="I69" s="26">
        <f t="shared" si="5"/>
        <v>7667</v>
      </c>
      <c r="J69" s="25">
        <v>28</v>
      </c>
      <c r="K69" s="28" t="str">
        <f t="shared" si="6"/>
        <v>Achieved</v>
      </c>
      <c r="L69" s="28">
        <v>97.6</v>
      </c>
      <c r="M69" s="29" t="str">
        <f t="shared" si="7"/>
        <v>Good</v>
      </c>
      <c r="N69" s="25">
        <v>3</v>
      </c>
      <c r="O69" s="25">
        <v>4.7</v>
      </c>
    </row>
    <row r="70" spans="1:15">
      <c r="A70" s="25" t="s">
        <v>40</v>
      </c>
      <c r="B70" s="25" t="s">
        <v>41</v>
      </c>
      <c r="C70" s="25" t="s">
        <v>28</v>
      </c>
      <c r="D70" s="25" t="s">
        <v>42</v>
      </c>
      <c r="E70" s="25" t="s">
        <v>145</v>
      </c>
      <c r="F70" s="26">
        <v>47349</v>
      </c>
      <c r="G70" s="26">
        <v>34925</v>
      </c>
      <c r="H70" s="27">
        <f t="shared" si="4"/>
        <v>0.737607974825234</v>
      </c>
      <c r="I70" s="26">
        <f t="shared" si="5"/>
        <v>-12424</v>
      </c>
      <c r="J70" s="25">
        <v>11</v>
      </c>
      <c r="K70" s="28" t="str">
        <f t="shared" si="6"/>
        <v>Not Achieved</v>
      </c>
      <c r="L70" s="28">
        <v>92.8</v>
      </c>
      <c r="M70" s="29" t="str">
        <f t="shared" si="7"/>
        <v>Good</v>
      </c>
      <c r="N70" s="25">
        <v>3</v>
      </c>
      <c r="O70" s="25">
        <v>3.7</v>
      </c>
    </row>
    <row r="71" spans="1:15">
      <c r="A71" s="25" t="s">
        <v>43</v>
      </c>
      <c r="B71" s="25" t="s">
        <v>44</v>
      </c>
      <c r="C71" s="25" t="s">
        <v>34</v>
      </c>
      <c r="D71" s="25" t="s">
        <v>18</v>
      </c>
      <c r="E71" s="25" t="s">
        <v>145</v>
      </c>
      <c r="F71" s="26">
        <v>56932</v>
      </c>
      <c r="G71" s="26">
        <v>66767</v>
      </c>
      <c r="H71" s="27">
        <f t="shared" si="4"/>
        <v>1</v>
      </c>
      <c r="I71" s="26">
        <f t="shared" si="5"/>
        <v>9835</v>
      </c>
      <c r="J71" s="25">
        <v>32</v>
      </c>
      <c r="K71" s="28" t="str">
        <f t="shared" si="6"/>
        <v>Achieved</v>
      </c>
      <c r="L71" s="28">
        <v>92.2</v>
      </c>
      <c r="M71" s="29" t="str">
        <f t="shared" si="7"/>
        <v>Good</v>
      </c>
      <c r="N71" s="25">
        <v>2</v>
      </c>
      <c r="O71" s="25">
        <v>3.9</v>
      </c>
    </row>
    <row r="72" spans="1:15">
      <c r="A72" s="25" t="s">
        <v>45</v>
      </c>
      <c r="B72" s="25" t="s">
        <v>46</v>
      </c>
      <c r="C72" s="25" t="s">
        <v>31</v>
      </c>
      <c r="D72" s="25" t="s">
        <v>42</v>
      </c>
      <c r="E72" s="25" t="s">
        <v>145</v>
      </c>
      <c r="F72" s="26">
        <v>52612</v>
      </c>
      <c r="G72" s="26">
        <v>48434</v>
      </c>
      <c r="H72" s="27">
        <f t="shared" si="4"/>
        <v>0.920588458906713</v>
      </c>
      <c r="I72" s="26">
        <f t="shared" si="5"/>
        <v>-4178</v>
      </c>
      <c r="J72" s="25">
        <v>16</v>
      </c>
      <c r="K72" s="28" t="str">
        <f t="shared" si="6"/>
        <v>Not Achieved</v>
      </c>
      <c r="L72" s="28">
        <v>98.2</v>
      </c>
      <c r="M72" s="29" t="str">
        <f t="shared" si="7"/>
        <v>Good</v>
      </c>
      <c r="N72" s="25">
        <v>0</v>
      </c>
      <c r="O72" s="25">
        <v>3.9</v>
      </c>
    </row>
    <row r="73" spans="1:15">
      <c r="A73" s="25" t="s">
        <v>47</v>
      </c>
      <c r="B73" s="25" t="s">
        <v>48</v>
      </c>
      <c r="C73" s="25" t="s">
        <v>17</v>
      </c>
      <c r="D73" s="25" t="s">
        <v>35</v>
      </c>
      <c r="E73" s="25" t="s">
        <v>145</v>
      </c>
      <c r="F73" s="26">
        <v>65156</v>
      </c>
      <c r="G73" s="26">
        <v>69003</v>
      </c>
      <c r="H73" s="27">
        <f t="shared" si="4"/>
        <v>1</v>
      </c>
      <c r="I73" s="26">
        <f t="shared" si="5"/>
        <v>3847</v>
      </c>
      <c r="J73" s="25">
        <v>31</v>
      </c>
      <c r="K73" s="28" t="str">
        <f t="shared" si="6"/>
        <v>Achieved</v>
      </c>
      <c r="L73" s="28">
        <v>92</v>
      </c>
      <c r="M73" s="29" t="str">
        <f t="shared" si="7"/>
        <v>Good</v>
      </c>
      <c r="N73" s="25">
        <v>6</v>
      </c>
      <c r="O73" s="25">
        <v>4.4</v>
      </c>
    </row>
    <row r="74" spans="1:15">
      <c r="A74" s="25" t="s">
        <v>49</v>
      </c>
      <c r="B74" s="25" t="s">
        <v>50</v>
      </c>
      <c r="C74" s="25" t="s">
        <v>17</v>
      </c>
      <c r="D74" s="25" t="s">
        <v>18</v>
      </c>
      <c r="E74" s="25" t="s">
        <v>145</v>
      </c>
      <c r="F74" s="26">
        <v>58409</v>
      </c>
      <c r="G74" s="26">
        <v>58798</v>
      </c>
      <c r="H74" s="27">
        <f t="shared" si="4"/>
        <v>1</v>
      </c>
      <c r="I74" s="26">
        <f t="shared" si="5"/>
        <v>389</v>
      </c>
      <c r="J74" s="25">
        <v>18</v>
      </c>
      <c r="K74" s="28" t="str">
        <f t="shared" si="6"/>
        <v>Achieved</v>
      </c>
      <c r="L74" s="28">
        <v>97.3</v>
      </c>
      <c r="M74" s="29" t="str">
        <f t="shared" si="7"/>
        <v>Good</v>
      </c>
      <c r="N74" s="25">
        <v>3</v>
      </c>
      <c r="O74" s="25">
        <v>3.7</v>
      </c>
    </row>
    <row r="75" spans="1:15">
      <c r="A75" s="25" t="s">
        <v>51</v>
      </c>
      <c r="B75" s="25" t="s">
        <v>52</v>
      </c>
      <c r="C75" s="25" t="s">
        <v>22</v>
      </c>
      <c r="D75" s="25" t="s">
        <v>25</v>
      </c>
      <c r="E75" s="25" t="s">
        <v>145</v>
      </c>
      <c r="F75" s="26">
        <v>50067</v>
      </c>
      <c r="G75" s="26">
        <v>51407</v>
      </c>
      <c r="H75" s="27">
        <f t="shared" si="4"/>
        <v>1</v>
      </c>
      <c r="I75" s="26">
        <f t="shared" si="5"/>
        <v>1340</v>
      </c>
      <c r="J75" s="25">
        <v>20</v>
      </c>
      <c r="K75" s="28" t="str">
        <f t="shared" si="6"/>
        <v>Achieved</v>
      </c>
      <c r="L75" s="28">
        <v>92.4</v>
      </c>
      <c r="M75" s="29" t="str">
        <f t="shared" si="7"/>
        <v>Good</v>
      </c>
      <c r="N75" s="25">
        <v>3</v>
      </c>
      <c r="O75" s="25">
        <v>4.3</v>
      </c>
    </row>
    <row r="76" spans="1:15">
      <c r="A76" s="25" t="s">
        <v>53</v>
      </c>
      <c r="B76" s="25" t="s">
        <v>54</v>
      </c>
      <c r="C76" s="25" t="s">
        <v>28</v>
      </c>
      <c r="D76" s="25" t="s">
        <v>35</v>
      </c>
      <c r="E76" s="25" t="s">
        <v>145</v>
      </c>
      <c r="F76" s="26">
        <v>49888</v>
      </c>
      <c r="G76" s="26">
        <v>51178</v>
      </c>
      <c r="H76" s="27">
        <f t="shared" si="4"/>
        <v>1</v>
      </c>
      <c r="I76" s="26">
        <f t="shared" si="5"/>
        <v>1290</v>
      </c>
      <c r="J76" s="25">
        <v>19</v>
      </c>
      <c r="K76" s="28" t="str">
        <f t="shared" si="6"/>
        <v>Achieved</v>
      </c>
      <c r="L76" s="28">
        <v>95.5</v>
      </c>
      <c r="M76" s="29" t="str">
        <f t="shared" si="7"/>
        <v>Good</v>
      </c>
      <c r="N76" s="25">
        <v>5</v>
      </c>
      <c r="O76" s="25">
        <v>3.7</v>
      </c>
    </row>
    <row r="77" spans="1:15">
      <c r="A77" s="25" t="s">
        <v>55</v>
      </c>
      <c r="B77" s="25" t="s">
        <v>56</v>
      </c>
      <c r="C77" s="25" t="s">
        <v>31</v>
      </c>
      <c r="D77" s="25" t="s">
        <v>42</v>
      </c>
      <c r="E77" s="25" t="s">
        <v>145</v>
      </c>
      <c r="F77" s="26">
        <v>45930</v>
      </c>
      <c r="G77" s="26">
        <v>41649</v>
      </c>
      <c r="H77" s="27">
        <f t="shared" si="4"/>
        <v>0.906792945787067</v>
      </c>
      <c r="I77" s="26">
        <f t="shared" si="5"/>
        <v>-4281</v>
      </c>
      <c r="J77" s="25">
        <v>23</v>
      </c>
      <c r="K77" s="28" t="str">
        <f t="shared" si="6"/>
        <v>Not Achieved</v>
      </c>
      <c r="L77" s="28">
        <v>91.3</v>
      </c>
      <c r="M77" s="29" t="str">
        <f t="shared" si="7"/>
        <v>Good</v>
      </c>
      <c r="N77" s="25">
        <v>4</v>
      </c>
      <c r="O77" s="25">
        <v>4.9</v>
      </c>
    </row>
    <row r="78" spans="1:15">
      <c r="A78" s="25" t="s">
        <v>57</v>
      </c>
      <c r="B78" s="25" t="s">
        <v>58</v>
      </c>
      <c r="C78" s="25" t="s">
        <v>34</v>
      </c>
      <c r="D78" s="25" t="s">
        <v>18</v>
      </c>
      <c r="E78" s="25" t="s">
        <v>145</v>
      </c>
      <c r="F78" s="26">
        <v>56939</v>
      </c>
      <c r="G78" s="26">
        <v>58144</v>
      </c>
      <c r="H78" s="27">
        <f t="shared" si="4"/>
        <v>1</v>
      </c>
      <c r="I78" s="26">
        <f t="shared" si="5"/>
        <v>1205</v>
      </c>
      <c r="J78" s="25">
        <v>21</v>
      </c>
      <c r="K78" s="28" t="str">
        <f t="shared" si="6"/>
        <v>Achieved</v>
      </c>
      <c r="L78" s="28">
        <v>92.9</v>
      </c>
      <c r="M78" s="29" t="str">
        <f t="shared" si="7"/>
        <v>Good</v>
      </c>
      <c r="N78" s="25">
        <v>2</v>
      </c>
      <c r="O78" s="25">
        <v>3.6</v>
      </c>
    </row>
    <row r="79" spans="1:15">
      <c r="A79" s="25" t="s">
        <v>59</v>
      </c>
      <c r="B79" s="25" t="s">
        <v>60</v>
      </c>
      <c r="C79" s="25" t="s">
        <v>17</v>
      </c>
      <c r="D79" s="25" t="s">
        <v>25</v>
      </c>
      <c r="E79" s="25" t="s">
        <v>145</v>
      </c>
      <c r="F79" s="26">
        <v>66004</v>
      </c>
      <c r="G79" s="26">
        <v>74884</v>
      </c>
      <c r="H79" s="27">
        <f t="shared" si="4"/>
        <v>1</v>
      </c>
      <c r="I79" s="26">
        <f t="shared" si="5"/>
        <v>8880</v>
      </c>
      <c r="J79" s="25">
        <v>34</v>
      </c>
      <c r="K79" s="28" t="str">
        <f t="shared" si="6"/>
        <v>Achieved</v>
      </c>
      <c r="L79" s="28">
        <v>95.2</v>
      </c>
      <c r="M79" s="29" t="str">
        <f t="shared" si="7"/>
        <v>Good</v>
      </c>
      <c r="N79" s="25">
        <v>2</v>
      </c>
      <c r="O79" s="25">
        <v>4.7</v>
      </c>
    </row>
    <row r="80" spans="1:15">
      <c r="A80" s="25" t="s">
        <v>61</v>
      </c>
      <c r="B80" s="25" t="s">
        <v>62</v>
      </c>
      <c r="C80" s="25" t="s">
        <v>22</v>
      </c>
      <c r="D80" s="25" t="s">
        <v>35</v>
      </c>
      <c r="E80" s="25" t="s">
        <v>145</v>
      </c>
      <c r="F80" s="26">
        <v>55145</v>
      </c>
      <c r="G80" s="26">
        <v>48207</v>
      </c>
      <c r="H80" s="27">
        <f t="shared" si="4"/>
        <v>0.874186236286155</v>
      </c>
      <c r="I80" s="26">
        <f t="shared" si="5"/>
        <v>-6938</v>
      </c>
      <c r="J80" s="25">
        <v>21</v>
      </c>
      <c r="K80" s="28" t="str">
        <f t="shared" si="6"/>
        <v>Not Achieved</v>
      </c>
      <c r="L80" s="28">
        <v>95.4</v>
      </c>
      <c r="M80" s="29" t="str">
        <f t="shared" si="7"/>
        <v>Good</v>
      </c>
      <c r="N80" s="25">
        <v>3</v>
      </c>
      <c r="O80" s="25">
        <v>4.4</v>
      </c>
    </row>
    <row r="81" spans="1:15">
      <c r="A81" s="25" t="s">
        <v>63</v>
      </c>
      <c r="B81" s="25" t="s">
        <v>64</v>
      </c>
      <c r="C81" s="25" t="s">
        <v>28</v>
      </c>
      <c r="D81" s="25" t="s">
        <v>42</v>
      </c>
      <c r="E81" s="25" t="s">
        <v>145</v>
      </c>
      <c r="F81" s="26">
        <v>43400</v>
      </c>
      <c r="G81" s="26">
        <v>32171</v>
      </c>
      <c r="H81" s="27">
        <f t="shared" si="4"/>
        <v>0.741267281105991</v>
      </c>
      <c r="I81" s="26">
        <f t="shared" si="5"/>
        <v>-11229</v>
      </c>
      <c r="J81" s="25">
        <v>11</v>
      </c>
      <c r="K81" s="28" t="str">
        <f t="shared" si="6"/>
        <v>Not Achieved</v>
      </c>
      <c r="L81" s="28">
        <v>94.7</v>
      </c>
      <c r="M81" s="29" t="str">
        <f t="shared" si="7"/>
        <v>Good</v>
      </c>
      <c r="N81" s="25">
        <v>3</v>
      </c>
      <c r="O81" s="25">
        <v>3.6</v>
      </c>
    </row>
    <row r="82" spans="1:15">
      <c r="A82" s="25" t="s">
        <v>65</v>
      </c>
      <c r="B82" s="25" t="s">
        <v>66</v>
      </c>
      <c r="C82" s="25" t="s">
        <v>31</v>
      </c>
      <c r="D82" s="25" t="s">
        <v>18</v>
      </c>
      <c r="E82" s="25" t="s">
        <v>145</v>
      </c>
      <c r="F82" s="26">
        <v>51318</v>
      </c>
      <c r="G82" s="26">
        <v>50538</v>
      </c>
      <c r="H82" s="27">
        <f t="shared" si="4"/>
        <v>0.984800654741027</v>
      </c>
      <c r="I82" s="26">
        <f t="shared" si="5"/>
        <v>-780</v>
      </c>
      <c r="J82" s="25">
        <v>19</v>
      </c>
      <c r="K82" s="28" t="str">
        <f t="shared" si="6"/>
        <v>Not Achieved</v>
      </c>
      <c r="L82" s="28">
        <v>93.4</v>
      </c>
      <c r="M82" s="29" t="str">
        <f t="shared" si="7"/>
        <v>Good</v>
      </c>
      <c r="N82" s="25">
        <v>3</v>
      </c>
      <c r="O82" s="25">
        <v>4.8</v>
      </c>
    </row>
    <row r="83" spans="1:15">
      <c r="A83" s="25" t="s">
        <v>67</v>
      </c>
      <c r="B83" s="25" t="s">
        <v>68</v>
      </c>
      <c r="C83" s="25" t="s">
        <v>34</v>
      </c>
      <c r="D83" s="25" t="s">
        <v>25</v>
      </c>
      <c r="E83" s="25" t="s">
        <v>145</v>
      </c>
      <c r="F83" s="26">
        <v>47090</v>
      </c>
      <c r="G83" s="26">
        <v>53241</v>
      </c>
      <c r="H83" s="27">
        <f t="shared" si="4"/>
        <v>1</v>
      </c>
      <c r="I83" s="26">
        <f t="shared" si="5"/>
        <v>6151</v>
      </c>
      <c r="J83" s="25">
        <v>26</v>
      </c>
      <c r="K83" s="28" t="str">
        <f t="shared" si="6"/>
        <v>Achieved</v>
      </c>
      <c r="L83" s="28">
        <v>96.6</v>
      </c>
      <c r="M83" s="29" t="str">
        <f t="shared" si="7"/>
        <v>Good</v>
      </c>
      <c r="N83" s="25">
        <v>4</v>
      </c>
      <c r="O83" s="25">
        <v>4.9</v>
      </c>
    </row>
    <row r="84" spans="1:15">
      <c r="A84" s="25" t="s">
        <v>69</v>
      </c>
      <c r="B84" s="25" t="s">
        <v>70</v>
      </c>
      <c r="C84" s="25" t="s">
        <v>17</v>
      </c>
      <c r="D84" s="25" t="s">
        <v>35</v>
      </c>
      <c r="E84" s="25" t="s">
        <v>145</v>
      </c>
      <c r="F84" s="26">
        <v>64401</v>
      </c>
      <c r="G84" s="26">
        <v>61713</v>
      </c>
      <c r="H84" s="27">
        <f t="shared" si="4"/>
        <v>0.958261517678297</v>
      </c>
      <c r="I84" s="26">
        <f t="shared" si="5"/>
        <v>-2688</v>
      </c>
      <c r="J84" s="25">
        <v>32</v>
      </c>
      <c r="K84" s="28" t="str">
        <f t="shared" si="6"/>
        <v>Not Achieved</v>
      </c>
      <c r="L84" s="28">
        <v>94.1</v>
      </c>
      <c r="M84" s="29" t="str">
        <f t="shared" si="7"/>
        <v>Good</v>
      </c>
      <c r="N84" s="25">
        <v>4</v>
      </c>
      <c r="O84" s="25">
        <v>4</v>
      </c>
    </row>
    <row r="85" spans="1:15">
      <c r="A85" s="25" t="s">
        <v>71</v>
      </c>
      <c r="B85" s="25" t="s">
        <v>72</v>
      </c>
      <c r="C85" s="25" t="s">
        <v>22</v>
      </c>
      <c r="D85" s="25" t="s">
        <v>42</v>
      </c>
      <c r="E85" s="25" t="s">
        <v>145</v>
      </c>
      <c r="F85" s="26">
        <v>47184</v>
      </c>
      <c r="G85" s="26">
        <v>51367</v>
      </c>
      <c r="H85" s="27">
        <f t="shared" si="4"/>
        <v>1</v>
      </c>
      <c r="I85" s="26">
        <f t="shared" si="5"/>
        <v>4183</v>
      </c>
      <c r="J85" s="25">
        <v>16</v>
      </c>
      <c r="K85" s="28" t="str">
        <f t="shared" si="6"/>
        <v>Achieved</v>
      </c>
      <c r="L85" s="28">
        <v>93.8</v>
      </c>
      <c r="M85" s="29" t="str">
        <f t="shared" si="7"/>
        <v>Good</v>
      </c>
      <c r="N85" s="25">
        <v>1</v>
      </c>
      <c r="O85" s="25">
        <v>4</v>
      </c>
    </row>
    <row r="86" spans="1:15">
      <c r="A86" s="25" t="s">
        <v>73</v>
      </c>
      <c r="B86" s="25" t="s">
        <v>74</v>
      </c>
      <c r="C86" s="25" t="s">
        <v>28</v>
      </c>
      <c r="D86" s="25" t="s">
        <v>18</v>
      </c>
      <c r="E86" s="25" t="s">
        <v>145</v>
      </c>
      <c r="F86" s="26">
        <v>55374</v>
      </c>
      <c r="G86" s="26">
        <v>62576</v>
      </c>
      <c r="H86" s="27">
        <f t="shared" si="4"/>
        <v>1</v>
      </c>
      <c r="I86" s="26">
        <f t="shared" si="5"/>
        <v>7202</v>
      </c>
      <c r="J86" s="25">
        <v>20</v>
      </c>
      <c r="K86" s="28" t="str">
        <f t="shared" si="6"/>
        <v>Achieved</v>
      </c>
      <c r="L86" s="28">
        <v>97</v>
      </c>
      <c r="M86" s="29" t="str">
        <f t="shared" si="7"/>
        <v>Good</v>
      </c>
      <c r="N86" s="25">
        <v>5</v>
      </c>
      <c r="O86" s="25">
        <v>3.8</v>
      </c>
    </row>
    <row r="87" spans="1:15">
      <c r="A87" s="25" t="s">
        <v>75</v>
      </c>
      <c r="B87" s="25" t="s">
        <v>76</v>
      </c>
      <c r="C87" s="25" t="s">
        <v>31</v>
      </c>
      <c r="D87" s="25" t="s">
        <v>25</v>
      </c>
      <c r="E87" s="25" t="s">
        <v>145</v>
      </c>
      <c r="F87" s="26">
        <v>49976</v>
      </c>
      <c r="G87" s="26">
        <v>46234</v>
      </c>
      <c r="H87" s="27">
        <f t="shared" si="4"/>
        <v>0.925124059548583</v>
      </c>
      <c r="I87" s="26">
        <f t="shared" si="5"/>
        <v>-3742</v>
      </c>
      <c r="J87" s="25">
        <v>21</v>
      </c>
      <c r="K87" s="28" t="str">
        <f t="shared" si="6"/>
        <v>Not Achieved</v>
      </c>
      <c r="L87" s="28">
        <v>96.2</v>
      </c>
      <c r="M87" s="29" t="str">
        <f t="shared" si="7"/>
        <v>Good</v>
      </c>
      <c r="N87" s="25">
        <v>1</v>
      </c>
      <c r="O87" s="25">
        <v>4.2</v>
      </c>
    </row>
    <row r="88" spans="1:15">
      <c r="A88" s="25" t="s">
        <v>77</v>
      </c>
      <c r="B88" s="25" t="s">
        <v>78</v>
      </c>
      <c r="C88" s="25" t="s">
        <v>34</v>
      </c>
      <c r="D88" s="25" t="s">
        <v>35</v>
      </c>
      <c r="E88" s="25" t="s">
        <v>145</v>
      </c>
      <c r="F88" s="26">
        <v>51050</v>
      </c>
      <c r="G88" s="26">
        <v>56479</v>
      </c>
      <c r="H88" s="27">
        <f t="shared" si="4"/>
        <v>1</v>
      </c>
      <c r="I88" s="26">
        <f t="shared" si="5"/>
        <v>5429</v>
      </c>
      <c r="J88" s="25">
        <v>23</v>
      </c>
      <c r="K88" s="28" t="str">
        <f t="shared" si="6"/>
        <v>Achieved</v>
      </c>
      <c r="L88" s="28">
        <v>96.4</v>
      </c>
      <c r="M88" s="29" t="str">
        <f t="shared" si="7"/>
        <v>Good</v>
      </c>
      <c r="N88" s="25">
        <v>0</v>
      </c>
      <c r="O88" s="25">
        <v>4</v>
      </c>
    </row>
    <row r="89" spans="1:15">
      <c r="A89" s="25" t="s">
        <v>79</v>
      </c>
      <c r="B89" s="25" t="s">
        <v>80</v>
      </c>
      <c r="C89" s="25" t="s">
        <v>17</v>
      </c>
      <c r="D89" s="25" t="s">
        <v>42</v>
      </c>
      <c r="E89" s="25" t="s">
        <v>145</v>
      </c>
      <c r="F89" s="26">
        <v>57499</v>
      </c>
      <c r="G89" s="26">
        <v>53034</v>
      </c>
      <c r="H89" s="27">
        <f t="shared" si="4"/>
        <v>0.92234647559088</v>
      </c>
      <c r="I89" s="26">
        <f t="shared" si="5"/>
        <v>-4465</v>
      </c>
      <c r="J89" s="25">
        <v>22</v>
      </c>
      <c r="K89" s="28" t="str">
        <f t="shared" si="6"/>
        <v>Not Achieved</v>
      </c>
      <c r="L89" s="28">
        <v>90.6</v>
      </c>
      <c r="M89" s="29" t="str">
        <f t="shared" si="7"/>
        <v>Good</v>
      </c>
      <c r="N89" s="25">
        <v>1</v>
      </c>
      <c r="O89" s="25">
        <v>4.9</v>
      </c>
    </row>
    <row r="90" spans="1:15">
      <c r="A90" s="25" t="s">
        <v>81</v>
      </c>
      <c r="B90" s="25" t="s">
        <v>82</v>
      </c>
      <c r="C90" s="25" t="s">
        <v>22</v>
      </c>
      <c r="D90" s="25" t="s">
        <v>18</v>
      </c>
      <c r="E90" s="25" t="s">
        <v>145</v>
      </c>
      <c r="F90" s="26">
        <v>46320</v>
      </c>
      <c r="G90" s="26">
        <v>36299</v>
      </c>
      <c r="H90" s="27">
        <f t="shared" si="4"/>
        <v>0.783657167530225</v>
      </c>
      <c r="I90" s="26">
        <f t="shared" si="5"/>
        <v>-10021</v>
      </c>
      <c r="J90" s="25">
        <v>15</v>
      </c>
      <c r="K90" s="28" t="str">
        <f t="shared" si="6"/>
        <v>Not Achieved</v>
      </c>
      <c r="L90" s="28">
        <v>92.2</v>
      </c>
      <c r="M90" s="29" t="str">
        <f t="shared" si="7"/>
        <v>Good</v>
      </c>
      <c r="N90" s="25">
        <v>4</v>
      </c>
      <c r="O90" s="25">
        <v>4.4</v>
      </c>
    </row>
    <row r="91" spans="1:15">
      <c r="A91" s="25" t="s">
        <v>83</v>
      </c>
      <c r="B91" s="25" t="s">
        <v>84</v>
      </c>
      <c r="C91" s="25" t="s">
        <v>28</v>
      </c>
      <c r="D91" s="25" t="s">
        <v>25</v>
      </c>
      <c r="E91" s="25" t="s">
        <v>145</v>
      </c>
      <c r="F91" s="26">
        <v>49797</v>
      </c>
      <c r="G91" s="26">
        <v>45191</v>
      </c>
      <c r="H91" s="27">
        <f t="shared" si="4"/>
        <v>0.907504468140651</v>
      </c>
      <c r="I91" s="26">
        <f t="shared" si="5"/>
        <v>-4606</v>
      </c>
      <c r="J91" s="25">
        <v>15</v>
      </c>
      <c r="K91" s="28" t="str">
        <f t="shared" si="6"/>
        <v>Not Achieved</v>
      </c>
      <c r="L91" s="28">
        <v>93.1</v>
      </c>
      <c r="M91" s="29" t="str">
        <f t="shared" si="7"/>
        <v>Good</v>
      </c>
      <c r="N91" s="25">
        <v>6</v>
      </c>
      <c r="O91" s="25">
        <v>4.4</v>
      </c>
    </row>
    <row r="92" spans="1:15">
      <c r="A92" s="25" t="s">
        <v>85</v>
      </c>
      <c r="B92" s="25" t="s">
        <v>86</v>
      </c>
      <c r="C92" s="25" t="s">
        <v>31</v>
      </c>
      <c r="D92" s="25" t="s">
        <v>35</v>
      </c>
      <c r="E92" s="25" t="s">
        <v>145</v>
      </c>
      <c r="F92" s="26">
        <v>47381</v>
      </c>
      <c r="G92" s="26">
        <v>53836</v>
      </c>
      <c r="H92" s="27">
        <f t="shared" si="4"/>
        <v>1</v>
      </c>
      <c r="I92" s="26">
        <f t="shared" si="5"/>
        <v>6455</v>
      </c>
      <c r="J92" s="25">
        <v>17</v>
      </c>
      <c r="K92" s="28" t="str">
        <f t="shared" si="6"/>
        <v>Achieved</v>
      </c>
      <c r="L92" s="28">
        <v>98.4</v>
      </c>
      <c r="M92" s="29" t="str">
        <f t="shared" si="7"/>
        <v>Good</v>
      </c>
      <c r="N92" s="25">
        <v>7</v>
      </c>
      <c r="O92" s="25">
        <v>4.2</v>
      </c>
    </row>
    <row r="93" spans="1:15">
      <c r="A93" s="25" t="s">
        <v>87</v>
      </c>
      <c r="B93" s="25" t="s">
        <v>88</v>
      </c>
      <c r="C93" s="25" t="s">
        <v>34</v>
      </c>
      <c r="D93" s="25" t="s">
        <v>42</v>
      </c>
      <c r="E93" s="25" t="s">
        <v>145</v>
      </c>
      <c r="F93" s="26">
        <v>56432</v>
      </c>
      <c r="G93" s="26">
        <v>50505</v>
      </c>
      <c r="H93" s="27">
        <f t="shared" si="4"/>
        <v>0.894970938474624</v>
      </c>
      <c r="I93" s="26">
        <f t="shared" si="5"/>
        <v>-5927</v>
      </c>
      <c r="J93" s="25">
        <v>27</v>
      </c>
      <c r="K93" s="28" t="str">
        <f t="shared" si="6"/>
        <v>Not Achieved</v>
      </c>
      <c r="L93" s="28">
        <v>98.4</v>
      </c>
      <c r="M93" s="29" t="str">
        <f t="shared" si="7"/>
        <v>Good</v>
      </c>
      <c r="N93" s="25">
        <v>2</v>
      </c>
      <c r="O93" s="25">
        <v>4.5</v>
      </c>
    </row>
    <row r="94" spans="1:15">
      <c r="A94" s="25" t="s">
        <v>89</v>
      </c>
      <c r="B94" s="25" t="s">
        <v>90</v>
      </c>
      <c r="C94" s="25" t="s">
        <v>17</v>
      </c>
      <c r="D94" s="25" t="s">
        <v>18</v>
      </c>
      <c r="E94" s="25" t="s">
        <v>145</v>
      </c>
      <c r="F94" s="26">
        <v>66692</v>
      </c>
      <c r="G94" s="26">
        <v>60873</v>
      </c>
      <c r="H94" s="27">
        <f t="shared" si="4"/>
        <v>0.912748155700834</v>
      </c>
      <c r="I94" s="26">
        <f t="shared" si="5"/>
        <v>-5819</v>
      </c>
      <c r="J94" s="25">
        <v>20</v>
      </c>
      <c r="K94" s="28" t="str">
        <f t="shared" si="6"/>
        <v>Not Achieved</v>
      </c>
      <c r="L94" s="28">
        <v>96.8</v>
      </c>
      <c r="M94" s="29" t="str">
        <f t="shared" si="7"/>
        <v>Good</v>
      </c>
      <c r="N94" s="25">
        <v>5</v>
      </c>
      <c r="O94" s="25">
        <v>3.8</v>
      </c>
    </row>
    <row r="95" spans="1:15">
      <c r="A95" s="25" t="s">
        <v>91</v>
      </c>
      <c r="B95" s="25" t="s">
        <v>92</v>
      </c>
      <c r="C95" s="25" t="s">
        <v>22</v>
      </c>
      <c r="D95" s="25" t="s">
        <v>25</v>
      </c>
      <c r="E95" s="25" t="s">
        <v>145</v>
      </c>
      <c r="F95" s="26">
        <v>49471</v>
      </c>
      <c r="G95" s="26">
        <v>45537</v>
      </c>
      <c r="H95" s="27">
        <f t="shared" si="4"/>
        <v>0.920478664267955</v>
      </c>
      <c r="I95" s="26">
        <f t="shared" si="5"/>
        <v>-3934</v>
      </c>
      <c r="J95" s="25">
        <v>24</v>
      </c>
      <c r="K95" s="28" t="str">
        <f t="shared" si="6"/>
        <v>Not Achieved</v>
      </c>
      <c r="L95" s="28">
        <v>92.3</v>
      </c>
      <c r="M95" s="29" t="str">
        <f t="shared" si="7"/>
        <v>Good</v>
      </c>
      <c r="N95" s="25">
        <v>1</v>
      </c>
      <c r="O95" s="25">
        <v>3.4</v>
      </c>
    </row>
    <row r="96" spans="1:15">
      <c r="A96" s="25" t="s">
        <v>93</v>
      </c>
      <c r="B96" s="25" t="s">
        <v>94</v>
      </c>
      <c r="C96" s="25" t="s">
        <v>28</v>
      </c>
      <c r="D96" s="25" t="s">
        <v>35</v>
      </c>
      <c r="E96" s="25" t="s">
        <v>145</v>
      </c>
      <c r="F96" s="26">
        <v>54864</v>
      </c>
      <c r="G96" s="26">
        <v>43667</v>
      </c>
      <c r="H96" s="27">
        <f t="shared" si="4"/>
        <v>0.795913531641878</v>
      </c>
      <c r="I96" s="26">
        <f t="shared" si="5"/>
        <v>-11197</v>
      </c>
      <c r="J96" s="25">
        <v>15</v>
      </c>
      <c r="K96" s="28" t="str">
        <f t="shared" si="6"/>
        <v>Not Achieved</v>
      </c>
      <c r="L96" s="28">
        <v>98.1</v>
      </c>
      <c r="M96" s="29" t="str">
        <f t="shared" si="7"/>
        <v>Good</v>
      </c>
      <c r="N96" s="25">
        <v>5</v>
      </c>
      <c r="O96" s="25">
        <v>4</v>
      </c>
    </row>
    <row r="97" spans="1:15">
      <c r="A97" s="25" t="s">
        <v>95</v>
      </c>
      <c r="B97" s="25" t="s">
        <v>96</v>
      </c>
      <c r="C97" s="25" t="s">
        <v>31</v>
      </c>
      <c r="D97" s="25" t="s">
        <v>42</v>
      </c>
      <c r="E97" s="25" t="s">
        <v>145</v>
      </c>
      <c r="F97" s="26">
        <v>47455</v>
      </c>
      <c r="G97" s="26">
        <v>47088</v>
      </c>
      <c r="H97" s="27">
        <f t="shared" si="4"/>
        <v>0.992266357601939</v>
      </c>
      <c r="I97" s="26">
        <f t="shared" si="5"/>
        <v>-367</v>
      </c>
      <c r="J97" s="25">
        <v>14</v>
      </c>
      <c r="K97" s="28" t="str">
        <f t="shared" si="6"/>
        <v>Not Achieved</v>
      </c>
      <c r="L97" s="28">
        <v>88.3</v>
      </c>
      <c r="M97" s="29" t="str">
        <f t="shared" si="7"/>
        <v>Low</v>
      </c>
      <c r="N97" s="25">
        <v>2</v>
      </c>
      <c r="O97" s="25">
        <v>3.9</v>
      </c>
    </row>
    <row r="98" spans="1:15">
      <c r="A98" s="25" t="s">
        <v>97</v>
      </c>
      <c r="B98" s="25" t="s">
        <v>98</v>
      </c>
      <c r="C98" s="25" t="s">
        <v>34</v>
      </c>
      <c r="D98" s="25" t="s">
        <v>18</v>
      </c>
      <c r="E98" s="25" t="s">
        <v>145</v>
      </c>
      <c r="F98" s="26">
        <v>54564</v>
      </c>
      <c r="G98" s="26">
        <v>43847</v>
      </c>
      <c r="H98" s="27">
        <f t="shared" si="4"/>
        <v>0.803588446594824</v>
      </c>
      <c r="I98" s="26">
        <f t="shared" si="5"/>
        <v>-10717</v>
      </c>
      <c r="J98" s="25">
        <v>18</v>
      </c>
      <c r="K98" s="28" t="str">
        <f t="shared" si="6"/>
        <v>Not Achieved</v>
      </c>
      <c r="L98" s="28">
        <v>92.2</v>
      </c>
      <c r="M98" s="29" t="str">
        <f t="shared" si="7"/>
        <v>Good</v>
      </c>
      <c r="N98" s="25">
        <v>3</v>
      </c>
      <c r="O98" s="25">
        <v>4.5</v>
      </c>
    </row>
    <row r="99" spans="1:15">
      <c r="A99" s="25" t="s">
        <v>99</v>
      </c>
      <c r="B99" s="25" t="s">
        <v>100</v>
      </c>
      <c r="C99" s="25" t="s">
        <v>17</v>
      </c>
      <c r="D99" s="25" t="s">
        <v>25</v>
      </c>
      <c r="E99" s="25" t="s">
        <v>145</v>
      </c>
      <c r="F99" s="26">
        <v>65471</v>
      </c>
      <c r="G99" s="26">
        <v>73631</v>
      </c>
      <c r="H99" s="27">
        <f t="shared" si="4"/>
        <v>1</v>
      </c>
      <c r="I99" s="26">
        <f t="shared" si="5"/>
        <v>8160</v>
      </c>
      <c r="J99" s="25">
        <v>31</v>
      </c>
      <c r="K99" s="28" t="str">
        <f t="shared" si="6"/>
        <v>Achieved</v>
      </c>
      <c r="L99" s="28">
        <v>96.3</v>
      </c>
      <c r="M99" s="29" t="str">
        <f t="shared" si="7"/>
        <v>Good</v>
      </c>
      <c r="N99" s="25">
        <v>4</v>
      </c>
      <c r="O99" s="25">
        <v>3.8</v>
      </c>
    </row>
    <row r="100" spans="1:15">
      <c r="A100" s="25" t="s">
        <v>101</v>
      </c>
      <c r="B100" s="25" t="s">
        <v>102</v>
      </c>
      <c r="C100" s="25" t="s">
        <v>22</v>
      </c>
      <c r="D100" s="25" t="s">
        <v>35</v>
      </c>
      <c r="E100" s="25" t="s">
        <v>145</v>
      </c>
      <c r="F100" s="26">
        <v>46341</v>
      </c>
      <c r="G100" s="26">
        <v>43391</v>
      </c>
      <c r="H100" s="27">
        <f t="shared" si="4"/>
        <v>0.936341468677845</v>
      </c>
      <c r="I100" s="26">
        <f t="shared" si="5"/>
        <v>-2950</v>
      </c>
      <c r="J100" s="25">
        <v>14</v>
      </c>
      <c r="K100" s="28" t="str">
        <f t="shared" si="6"/>
        <v>Not Achieved</v>
      </c>
      <c r="L100" s="28">
        <v>88.6</v>
      </c>
      <c r="M100" s="29" t="str">
        <f t="shared" si="7"/>
        <v>Low</v>
      </c>
      <c r="N100" s="25">
        <v>4</v>
      </c>
      <c r="O100" s="25">
        <v>4</v>
      </c>
    </row>
    <row r="101" spans="1:15">
      <c r="A101" s="25" t="s">
        <v>103</v>
      </c>
      <c r="B101" s="25" t="s">
        <v>104</v>
      </c>
      <c r="C101" s="25" t="s">
        <v>28</v>
      </c>
      <c r="D101" s="25" t="s">
        <v>42</v>
      </c>
      <c r="E101" s="25" t="s">
        <v>145</v>
      </c>
      <c r="F101" s="26">
        <v>44124</v>
      </c>
      <c r="G101" s="26">
        <v>47626</v>
      </c>
      <c r="H101" s="27">
        <f t="shared" si="4"/>
        <v>1</v>
      </c>
      <c r="I101" s="26">
        <f t="shared" si="5"/>
        <v>3502</v>
      </c>
      <c r="J101" s="25">
        <v>15</v>
      </c>
      <c r="K101" s="28" t="str">
        <f t="shared" si="6"/>
        <v>Achieved</v>
      </c>
      <c r="L101" s="28">
        <v>88.4</v>
      </c>
      <c r="M101" s="29" t="str">
        <f t="shared" si="7"/>
        <v>Low</v>
      </c>
      <c r="N101" s="25">
        <v>4</v>
      </c>
      <c r="O101" s="25">
        <v>4.2</v>
      </c>
    </row>
    <row r="102" spans="1:15">
      <c r="A102" s="25" t="s">
        <v>105</v>
      </c>
      <c r="B102" s="25" t="s">
        <v>106</v>
      </c>
      <c r="C102" s="25" t="s">
        <v>31</v>
      </c>
      <c r="D102" s="25" t="s">
        <v>18</v>
      </c>
      <c r="E102" s="25" t="s">
        <v>145</v>
      </c>
      <c r="F102" s="26">
        <v>54749</v>
      </c>
      <c r="G102" s="26">
        <v>39933</v>
      </c>
      <c r="H102" s="27">
        <f t="shared" si="4"/>
        <v>0.729383185081006</v>
      </c>
      <c r="I102" s="26">
        <f t="shared" si="5"/>
        <v>-14816</v>
      </c>
      <c r="J102" s="25">
        <v>18</v>
      </c>
      <c r="K102" s="28" t="str">
        <f t="shared" si="6"/>
        <v>Not Achieved</v>
      </c>
      <c r="L102" s="28">
        <v>90.6</v>
      </c>
      <c r="M102" s="29" t="str">
        <f t="shared" si="7"/>
        <v>Good</v>
      </c>
      <c r="N102" s="25">
        <v>2</v>
      </c>
      <c r="O102" s="25">
        <v>4.1</v>
      </c>
    </row>
    <row r="103" spans="1:15">
      <c r="A103" s="25" t="s">
        <v>107</v>
      </c>
      <c r="B103" s="25" t="s">
        <v>108</v>
      </c>
      <c r="C103" s="25" t="s">
        <v>34</v>
      </c>
      <c r="D103" s="25" t="s">
        <v>25</v>
      </c>
      <c r="E103" s="25" t="s">
        <v>145</v>
      </c>
      <c r="F103" s="26">
        <v>50571</v>
      </c>
      <c r="G103" s="26">
        <v>47229</v>
      </c>
      <c r="H103" s="27">
        <f t="shared" si="4"/>
        <v>0.933914694192324</v>
      </c>
      <c r="I103" s="26">
        <f t="shared" si="5"/>
        <v>-3342</v>
      </c>
      <c r="J103" s="25">
        <v>20</v>
      </c>
      <c r="K103" s="28" t="str">
        <f t="shared" si="6"/>
        <v>Not Achieved</v>
      </c>
      <c r="L103" s="28">
        <v>96.4</v>
      </c>
      <c r="M103" s="29" t="str">
        <f t="shared" si="7"/>
        <v>Good</v>
      </c>
      <c r="N103" s="25">
        <v>4</v>
      </c>
      <c r="O103" s="25">
        <v>4.6</v>
      </c>
    </row>
    <row r="104" spans="1:15">
      <c r="A104" s="25" t="s">
        <v>109</v>
      </c>
      <c r="B104" s="25" t="s">
        <v>110</v>
      </c>
      <c r="C104" s="25" t="s">
        <v>17</v>
      </c>
      <c r="D104" s="25" t="s">
        <v>35</v>
      </c>
      <c r="E104" s="25" t="s">
        <v>145</v>
      </c>
      <c r="F104" s="26">
        <v>65254</v>
      </c>
      <c r="G104" s="26">
        <v>68546</v>
      </c>
      <c r="H104" s="27">
        <f t="shared" si="4"/>
        <v>1</v>
      </c>
      <c r="I104" s="26">
        <f t="shared" si="5"/>
        <v>3292</v>
      </c>
      <c r="J104" s="25">
        <v>32</v>
      </c>
      <c r="K104" s="28" t="str">
        <f t="shared" si="6"/>
        <v>Achieved</v>
      </c>
      <c r="L104" s="28">
        <v>98.6</v>
      </c>
      <c r="M104" s="29" t="str">
        <f t="shared" si="7"/>
        <v>Good</v>
      </c>
      <c r="N104" s="25">
        <v>3</v>
      </c>
      <c r="O104" s="25">
        <v>4.2</v>
      </c>
    </row>
    <row r="105" spans="1:15">
      <c r="A105" s="25" t="s">
        <v>111</v>
      </c>
      <c r="B105" s="25" t="s">
        <v>112</v>
      </c>
      <c r="C105" s="25" t="s">
        <v>22</v>
      </c>
      <c r="D105" s="25" t="s">
        <v>42</v>
      </c>
      <c r="E105" s="25" t="s">
        <v>145</v>
      </c>
      <c r="F105" s="26">
        <v>50111</v>
      </c>
      <c r="G105" s="26">
        <v>49353</v>
      </c>
      <c r="H105" s="27">
        <f t="shared" si="4"/>
        <v>0.984873580650955</v>
      </c>
      <c r="I105" s="26">
        <f t="shared" si="5"/>
        <v>-758</v>
      </c>
      <c r="J105" s="25">
        <v>19</v>
      </c>
      <c r="K105" s="28" t="str">
        <f t="shared" si="6"/>
        <v>Not Achieved</v>
      </c>
      <c r="L105" s="28">
        <v>92.4</v>
      </c>
      <c r="M105" s="29" t="str">
        <f t="shared" si="7"/>
        <v>Good</v>
      </c>
      <c r="N105" s="25">
        <v>3</v>
      </c>
      <c r="O105" s="25">
        <v>3.9</v>
      </c>
    </row>
    <row r="106" spans="1:15">
      <c r="A106" s="25" t="s">
        <v>113</v>
      </c>
      <c r="B106" s="25" t="s">
        <v>114</v>
      </c>
      <c r="C106" s="25" t="s">
        <v>28</v>
      </c>
      <c r="D106" s="25" t="s">
        <v>18</v>
      </c>
      <c r="E106" s="25" t="s">
        <v>145</v>
      </c>
      <c r="F106" s="26">
        <v>54315</v>
      </c>
      <c r="G106" s="26">
        <v>59859</v>
      </c>
      <c r="H106" s="27">
        <f t="shared" si="4"/>
        <v>1</v>
      </c>
      <c r="I106" s="26">
        <f t="shared" si="5"/>
        <v>5544</v>
      </c>
      <c r="J106" s="25">
        <v>26</v>
      </c>
      <c r="K106" s="28" t="str">
        <f t="shared" si="6"/>
        <v>Achieved</v>
      </c>
      <c r="L106" s="28">
        <v>89.1</v>
      </c>
      <c r="M106" s="29" t="str">
        <f t="shared" si="7"/>
        <v>Low</v>
      </c>
      <c r="N106" s="25">
        <v>4</v>
      </c>
      <c r="O106" s="25">
        <v>3.2</v>
      </c>
    </row>
    <row r="107" spans="1:15">
      <c r="A107" s="25" t="s">
        <v>115</v>
      </c>
      <c r="B107" s="25" t="s">
        <v>116</v>
      </c>
      <c r="C107" s="25" t="s">
        <v>31</v>
      </c>
      <c r="D107" s="25" t="s">
        <v>25</v>
      </c>
      <c r="E107" s="25" t="s">
        <v>145</v>
      </c>
      <c r="F107" s="26">
        <v>50837</v>
      </c>
      <c r="G107" s="26">
        <v>55440</v>
      </c>
      <c r="H107" s="27">
        <f t="shared" si="4"/>
        <v>1</v>
      </c>
      <c r="I107" s="26">
        <f t="shared" si="5"/>
        <v>4603</v>
      </c>
      <c r="J107" s="25">
        <v>18</v>
      </c>
      <c r="K107" s="28" t="str">
        <f t="shared" si="6"/>
        <v>Achieved</v>
      </c>
      <c r="L107" s="28">
        <v>96.6</v>
      </c>
      <c r="M107" s="29" t="str">
        <f t="shared" si="7"/>
        <v>Good</v>
      </c>
      <c r="N107" s="25">
        <v>2</v>
      </c>
      <c r="O107" s="25">
        <v>4.5</v>
      </c>
    </row>
    <row r="108" spans="1:15">
      <c r="A108" s="25" t="s">
        <v>117</v>
      </c>
      <c r="B108" s="25" t="s">
        <v>118</v>
      </c>
      <c r="C108" s="25" t="s">
        <v>34</v>
      </c>
      <c r="D108" s="25" t="s">
        <v>35</v>
      </c>
      <c r="E108" s="25" t="s">
        <v>145</v>
      </c>
      <c r="F108" s="26">
        <v>53071</v>
      </c>
      <c r="G108" s="26">
        <v>39895</v>
      </c>
      <c r="H108" s="27">
        <f t="shared" si="4"/>
        <v>0.751728816114262</v>
      </c>
      <c r="I108" s="26">
        <f t="shared" si="5"/>
        <v>-13176</v>
      </c>
      <c r="J108" s="25">
        <v>12</v>
      </c>
      <c r="K108" s="28" t="str">
        <f t="shared" si="6"/>
        <v>Not Achieved</v>
      </c>
      <c r="L108" s="28">
        <v>91.8</v>
      </c>
      <c r="M108" s="29" t="str">
        <f t="shared" si="7"/>
        <v>Good</v>
      </c>
      <c r="N108" s="25">
        <v>5</v>
      </c>
      <c r="O108" s="25">
        <v>3.4</v>
      </c>
    </row>
    <row r="109" spans="1:15">
      <c r="A109" s="25" t="s">
        <v>119</v>
      </c>
      <c r="B109" s="25" t="s">
        <v>120</v>
      </c>
      <c r="C109" s="25" t="s">
        <v>17</v>
      </c>
      <c r="D109" s="25" t="s">
        <v>42</v>
      </c>
      <c r="E109" s="25" t="s">
        <v>145</v>
      </c>
      <c r="F109" s="26">
        <v>54729</v>
      </c>
      <c r="G109" s="26">
        <v>50319</v>
      </c>
      <c r="H109" s="27">
        <f t="shared" si="4"/>
        <v>0.919421147837527</v>
      </c>
      <c r="I109" s="26">
        <f t="shared" si="5"/>
        <v>-4410</v>
      </c>
      <c r="J109" s="25">
        <v>19</v>
      </c>
      <c r="K109" s="28" t="str">
        <f t="shared" si="6"/>
        <v>Not Achieved</v>
      </c>
      <c r="L109" s="28">
        <v>95</v>
      </c>
      <c r="M109" s="29" t="str">
        <f t="shared" si="7"/>
        <v>Good</v>
      </c>
      <c r="N109" s="25">
        <v>4</v>
      </c>
      <c r="O109" s="25">
        <v>3.5</v>
      </c>
    </row>
    <row r="110" spans="1:15">
      <c r="A110" s="25" t="s">
        <v>121</v>
      </c>
      <c r="B110" s="25" t="s">
        <v>122</v>
      </c>
      <c r="C110" s="25" t="s">
        <v>22</v>
      </c>
      <c r="D110" s="25" t="s">
        <v>18</v>
      </c>
      <c r="E110" s="25" t="s">
        <v>145</v>
      </c>
      <c r="F110" s="26">
        <v>52135</v>
      </c>
      <c r="G110" s="26">
        <v>41761</v>
      </c>
      <c r="H110" s="27">
        <f t="shared" si="4"/>
        <v>0.801016591541191</v>
      </c>
      <c r="I110" s="26">
        <f t="shared" si="5"/>
        <v>-10374</v>
      </c>
      <c r="J110" s="25">
        <v>14</v>
      </c>
      <c r="K110" s="28" t="str">
        <f t="shared" si="6"/>
        <v>Not Achieved</v>
      </c>
      <c r="L110" s="28">
        <v>98.6</v>
      </c>
      <c r="M110" s="29" t="str">
        <f t="shared" si="7"/>
        <v>Good</v>
      </c>
      <c r="N110" s="25">
        <v>3</v>
      </c>
      <c r="O110" s="25">
        <v>4.9</v>
      </c>
    </row>
    <row r="111" spans="1:15">
      <c r="A111" s="25" t="s">
        <v>123</v>
      </c>
      <c r="B111" s="25" t="s">
        <v>124</v>
      </c>
      <c r="C111" s="25" t="s">
        <v>28</v>
      </c>
      <c r="D111" s="25" t="s">
        <v>25</v>
      </c>
      <c r="E111" s="25" t="s">
        <v>145</v>
      </c>
      <c r="F111" s="26">
        <v>51817</v>
      </c>
      <c r="G111" s="26">
        <v>55772</v>
      </c>
      <c r="H111" s="27">
        <f t="shared" si="4"/>
        <v>1</v>
      </c>
      <c r="I111" s="26">
        <f t="shared" si="5"/>
        <v>3955</v>
      </c>
      <c r="J111" s="25">
        <v>20</v>
      </c>
      <c r="K111" s="28" t="str">
        <f t="shared" si="6"/>
        <v>Achieved</v>
      </c>
      <c r="L111" s="28">
        <v>92.8</v>
      </c>
      <c r="M111" s="29" t="str">
        <f t="shared" si="7"/>
        <v>Good</v>
      </c>
      <c r="N111" s="25">
        <v>3</v>
      </c>
      <c r="O111" s="25">
        <v>3.7</v>
      </c>
    </row>
    <row r="112" spans="1:15">
      <c r="A112" s="25" t="s">
        <v>125</v>
      </c>
      <c r="B112" s="25" t="s">
        <v>126</v>
      </c>
      <c r="C112" s="25" t="s">
        <v>31</v>
      </c>
      <c r="D112" s="25" t="s">
        <v>35</v>
      </c>
      <c r="E112" s="25" t="s">
        <v>145</v>
      </c>
      <c r="F112" s="26">
        <v>54954</v>
      </c>
      <c r="G112" s="26">
        <v>45773</v>
      </c>
      <c r="H112" s="27">
        <f t="shared" si="4"/>
        <v>0.832932998507843</v>
      </c>
      <c r="I112" s="26">
        <f t="shared" si="5"/>
        <v>-9181</v>
      </c>
      <c r="J112" s="25">
        <v>23</v>
      </c>
      <c r="K112" s="28" t="str">
        <f t="shared" si="6"/>
        <v>Not Achieved</v>
      </c>
      <c r="L112" s="28">
        <v>91.1</v>
      </c>
      <c r="M112" s="29" t="str">
        <f t="shared" si="7"/>
        <v>Good</v>
      </c>
      <c r="N112" s="25">
        <v>0</v>
      </c>
      <c r="O112" s="25">
        <v>4.3</v>
      </c>
    </row>
    <row r="113" spans="1:15">
      <c r="A113" s="25" t="s">
        <v>127</v>
      </c>
      <c r="B113" s="25" t="s">
        <v>128</v>
      </c>
      <c r="C113" s="25" t="s">
        <v>34</v>
      </c>
      <c r="D113" s="25" t="s">
        <v>42</v>
      </c>
      <c r="E113" s="25" t="s">
        <v>145</v>
      </c>
      <c r="F113" s="26">
        <v>56336</v>
      </c>
      <c r="G113" s="26">
        <v>56378</v>
      </c>
      <c r="H113" s="27">
        <f t="shared" si="4"/>
        <v>1</v>
      </c>
      <c r="I113" s="26">
        <f t="shared" si="5"/>
        <v>42</v>
      </c>
      <c r="J113" s="25">
        <v>21</v>
      </c>
      <c r="K113" s="28" t="str">
        <f t="shared" si="6"/>
        <v>Achieved</v>
      </c>
      <c r="L113" s="28">
        <v>91.7</v>
      </c>
      <c r="M113" s="29" t="str">
        <f t="shared" si="7"/>
        <v>Good</v>
      </c>
      <c r="N113" s="25">
        <v>1</v>
      </c>
      <c r="O113" s="25">
        <v>4.1</v>
      </c>
    </row>
    <row r="114" spans="1:15">
      <c r="A114" s="25" t="s">
        <v>129</v>
      </c>
      <c r="B114" s="25" t="s">
        <v>130</v>
      </c>
      <c r="C114" s="25" t="s">
        <v>17</v>
      </c>
      <c r="D114" s="25" t="s">
        <v>18</v>
      </c>
      <c r="E114" s="25" t="s">
        <v>145</v>
      </c>
      <c r="F114" s="26">
        <v>60988</v>
      </c>
      <c r="G114" s="26">
        <v>49862</v>
      </c>
      <c r="H114" s="27">
        <f t="shared" si="4"/>
        <v>0.817570669639929</v>
      </c>
      <c r="I114" s="26">
        <f t="shared" si="5"/>
        <v>-11126</v>
      </c>
      <c r="J114" s="25">
        <v>21</v>
      </c>
      <c r="K114" s="28" t="str">
        <f t="shared" si="6"/>
        <v>Not Achieved</v>
      </c>
      <c r="L114" s="28">
        <v>91.7</v>
      </c>
      <c r="M114" s="29" t="str">
        <f t="shared" si="7"/>
        <v>Good</v>
      </c>
      <c r="N114" s="25">
        <v>5</v>
      </c>
      <c r="O114" s="25">
        <v>3.6</v>
      </c>
    </row>
    <row r="115" spans="1:15">
      <c r="A115" s="25" t="s">
        <v>131</v>
      </c>
      <c r="B115" s="25" t="s">
        <v>132</v>
      </c>
      <c r="C115" s="25" t="s">
        <v>22</v>
      </c>
      <c r="D115" s="25" t="s">
        <v>25</v>
      </c>
      <c r="E115" s="25" t="s">
        <v>145</v>
      </c>
      <c r="F115" s="26">
        <v>49526</v>
      </c>
      <c r="G115" s="26">
        <v>48321</v>
      </c>
      <c r="H115" s="27">
        <f t="shared" si="4"/>
        <v>0.975669345394338</v>
      </c>
      <c r="I115" s="26">
        <f t="shared" si="5"/>
        <v>-1205</v>
      </c>
      <c r="J115" s="25">
        <v>16</v>
      </c>
      <c r="K115" s="28" t="str">
        <f t="shared" si="6"/>
        <v>Not Achieved</v>
      </c>
      <c r="L115" s="28">
        <v>98.4</v>
      </c>
      <c r="M115" s="29" t="str">
        <f t="shared" si="7"/>
        <v>Good</v>
      </c>
      <c r="N115" s="25">
        <v>6</v>
      </c>
      <c r="O115" s="25">
        <v>4.5</v>
      </c>
    </row>
    <row r="116" spans="1:15">
      <c r="A116" s="25" t="s">
        <v>133</v>
      </c>
      <c r="B116" s="25" t="s">
        <v>134</v>
      </c>
      <c r="C116" s="25" t="s">
        <v>28</v>
      </c>
      <c r="D116" s="25" t="s">
        <v>35</v>
      </c>
      <c r="E116" s="25" t="s">
        <v>145</v>
      </c>
      <c r="F116" s="26">
        <v>51004</v>
      </c>
      <c r="G116" s="26">
        <v>49748</v>
      </c>
      <c r="H116" s="27">
        <f t="shared" si="4"/>
        <v>0.975374480432907</v>
      </c>
      <c r="I116" s="26">
        <f t="shared" si="5"/>
        <v>-1256</v>
      </c>
      <c r="J116" s="25">
        <v>21</v>
      </c>
      <c r="K116" s="28" t="str">
        <f t="shared" si="6"/>
        <v>Not Achieved</v>
      </c>
      <c r="L116" s="28">
        <v>95.6</v>
      </c>
      <c r="M116" s="29" t="str">
        <f t="shared" si="7"/>
        <v>Good</v>
      </c>
      <c r="N116" s="25">
        <v>2</v>
      </c>
      <c r="O116" s="25">
        <v>3.7</v>
      </c>
    </row>
    <row r="117" spans="1:15">
      <c r="A117" s="25" t="s">
        <v>135</v>
      </c>
      <c r="B117" s="25" t="s">
        <v>136</v>
      </c>
      <c r="C117" s="25" t="s">
        <v>31</v>
      </c>
      <c r="D117" s="25" t="s">
        <v>42</v>
      </c>
      <c r="E117" s="25" t="s">
        <v>145</v>
      </c>
      <c r="F117" s="26">
        <v>53991</v>
      </c>
      <c r="G117" s="26">
        <v>39302</v>
      </c>
      <c r="H117" s="27">
        <f t="shared" si="4"/>
        <v>0.727936137504399</v>
      </c>
      <c r="I117" s="26">
        <f t="shared" si="5"/>
        <v>-14689</v>
      </c>
      <c r="J117" s="25">
        <v>16</v>
      </c>
      <c r="K117" s="28" t="str">
        <f t="shared" si="6"/>
        <v>Not Achieved</v>
      </c>
      <c r="L117" s="28">
        <v>90.4</v>
      </c>
      <c r="M117" s="29" t="str">
        <f t="shared" si="7"/>
        <v>Good</v>
      </c>
      <c r="N117" s="25">
        <v>2</v>
      </c>
      <c r="O117" s="25">
        <v>3.7</v>
      </c>
    </row>
    <row r="118" spans="1:15">
      <c r="A118" s="25" t="s">
        <v>137</v>
      </c>
      <c r="B118" s="25" t="s">
        <v>138</v>
      </c>
      <c r="C118" s="25" t="s">
        <v>34</v>
      </c>
      <c r="D118" s="25" t="s">
        <v>18</v>
      </c>
      <c r="E118" s="25" t="s">
        <v>145</v>
      </c>
      <c r="F118" s="26">
        <v>56528</v>
      </c>
      <c r="G118" s="26">
        <v>50296</v>
      </c>
      <c r="H118" s="27">
        <f t="shared" si="4"/>
        <v>0.889753750353807</v>
      </c>
      <c r="I118" s="26">
        <f t="shared" si="5"/>
        <v>-6232</v>
      </c>
      <c r="J118" s="25">
        <v>17</v>
      </c>
      <c r="K118" s="28" t="str">
        <f t="shared" si="6"/>
        <v>Not Achieved</v>
      </c>
      <c r="L118" s="28">
        <v>93.8</v>
      </c>
      <c r="M118" s="29" t="str">
        <f t="shared" si="7"/>
        <v>Good</v>
      </c>
      <c r="N118" s="25">
        <v>0</v>
      </c>
      <c r="O118" s="25">
        <v>4.4</v>
      </c>
    </row>
    <row r="119" spans="1:15">
      <c r="A119" s="25" t="s">
        <v>139</v>
      </c>
      <c r="B119" s="25" t="s">
        <v>140</v>
      </c>
      <c r="C119" s="25" t="s">
        <v>17</v>
      </c>
      <c r="D119" s="25" t="s">
        <v>25</v>
      </c>
      <c r="E119" s="25" t="s">
        <v>145</v>
      </c>
      <c r="F119" s="26">
        <v>58419</v>
      </c>
      <c r="G119" s="26">
        <v>51516</v>
      </c>
      <c r="H119" s="27">
        <f t="shared" si="4"/>
        <v>0.881836388846095</v>
      </c>
      <c r="I119" s="26">
        <f t="shared" si="5"/>
        <v>-6903</v>
      </c>
      <c r="J119" s="25">
        <v>18</v>
      </c>
      <c r="K119" s="28" t="str">
        <f t="shared" si="6"/>
        <v>Not Achieved</v>
      </c>
      <c r="L119" s="28">
        <v>91</v>
      </c>
      <c r="M119" s="29" t="str">
        <f t="shared" si="7"/>
        <v>Good</v>
      </c>
      <c r="N119" s="25">
        <v>3</v>
      </c>
      <c r="O119" s="25">
        <v>4.3</v>
      </c>
    </row>
    <row r="120" spans="1:15">
      <c r="A120" s="25" t="s">
        <v>141</v>
      </c>
      <c r="B120" s="25" t="s">
        <v>142</v>
      </c>
      <c r="C120" s="25" t="s">
        <v>22</v>
      </c>
      <c r="D120" s="25" t="s">
        <v>35</v>
      </c>
      <c r="E120" s="25" t="s">
        <v>145</v>
      </c>
      <c r="F120" s="26">
        <v>48155</v>
      </c>
      <c r="G120" s="26">
        <v>41661</v>
      </c>
      <c r="H120" s="27">
        <f t="shared" si="4"/>
        <v>0.865143806458312</v>
      </c>
      <c r="I120" s="26">
        <f t="shared" si="5"/>
        <v>-6494</v>
      </c>
      <c r="J120" s="25">
        <v>14</v>
      </c>
      <c r="K120" s="28" t="str">
        <f t="shared" si="6"/>
        <v>Not Achieved</v>
      </c>
      <c r="L120" s="28">
        <v>98.5</v>
      </c>
      <c r="M120" s="29" t="str">
        <f t="shared" si="7"/>
        <v>Good</v>
      </c>
      <c r="N120" s="25">
        <v>3</v>
      </c>
      <c r="O120" s="25">
        <v>3.8</v>
      </c>
    </row>
    <row r="121" spans="1:15">
      <c r="A121" s="25" t="s">
        <v>143</v>
      </c>
      <c r="B121" s="25" t="s">
        <v>144</v>
      </c>
      <c r="C121" s="25" t="s">
        <v>28</v>
      </c>
      <c r="D121" s="25" t="s">
        <v>42</v>
      </c>
      <c r="E121" s="25" t="s">
        <v>145</v>
      </c>
      <c r="F121" s="26">
        <v>55101</v>
      </c>
      <c r="G121" s="26">
        <v>51945</v>
      </c>
      <c r="H121" s="27">
        <f t="shared" si="4"/>
        <v>0.942723362552404</v>
      </c>
      <c r="I121" s="26">
        <f t="shared" si="5"/>
        <v>-3156</v>
      </c>
      <c r="J121" s="25">
        <v>17</v>
      </c>
      <c r="K121" s="28" t="str">
        <f t="shared" si="6"/>
        <v>Not Achieved</v>
      </c>
      <c r="L121" s="28">
        <v>98.7</v>
      </c>
      <c r="M121" s="29" t="str">
        <f t="shared" si="7"/>
        <v>Good</v>
      </c>
      <c r="N121" s="25">
        <v>1</v>
      </c>
      <c r="O121" s="25">
        <v>4</v>
      </c>
    </row>
    <row r="122" spans="1:15">
      <c r="A122" s="25" t="s">
        <v>15</v>
      </c>
      <c r="B122" s="25" t="s">
        <v>16</v>
      </c>
      <c r="C122" s="25" t="s">
        <v>17</v>
      </c>
      <c r="D122" s="25" t="s">
        <v>18</v>
      </c>
      <c r="E122" s="25" t="s">
        <v>146</v>
      </c>
      <c r="F122" s="26">
        <v>54647</v>
      </c>
      <c r="G122" s="26">
        <v>60276</v>
      </c>
      <c r="H122" s="27">
        <f t="shared" si="4"/>
        <v>1</v>
      </c>
      <c r="I122" s="26">
        <f t="shared" si="5"/>
        <v>5629</v>
      </c>
      <c r="J122" s="25">
        <v>25</v>
      </c>
      <c r="K122" s="28" t="str">
        <f t="shared" si="6"/>
        <v>Achieved</v>
      </c>
      <c r="L122" s="28">
        <v>90.5</v>
      </c>
      <c r="M122" s="29" t="str">
        <f t="shared" si="7"/>
        <v>Good</v>
      </c>
      <c r="N122" s="25">
        <v>3</v>
      </c>
      <c r="O122" s="25">
        <v>4.2</v>
      </c>
    </row>
    <row r="123" spans="1:15">
      <c r="A123" s="25" t="s">
        <v>20</v>
      </c>
      <c r="B123" s="25" t="s">
        <v>21</v>
      </c>
      <c r="C123" s="25" t="s">
        <v>22</v>
      </c>
      <c r="D123" s="25" t="s">
        <v>18</v>
      </c>
      <c r="E123" s="25" t="s">
        <v>146</v>
      </c>
      <c r="F123" s="26">
        <v>53751</v>
      </c>
      <c r="G123" s="26">
        <v>41831</v>
      </c>
      <c r="H123" s="27">
        <f t="shared" si="4"/>
        <v>0.77823668396867</v>
      </c>
      <c r="I123" s="26">
        <f t="shared" si="5"/>
        <v>-11920</v>
      </c>
      <c r="J123" s="25">
        <v>22</v>
      </c>
      <c r="K123" s="28" t="str">
        <f t="shared" si="6"/>
        <v>Not Achieved</v>
      </c>
      <c r="L123" s="28">
        <v>98.7</v>
      </c>
      <c r="M123" s="29" t="str">
        <f t="shared" si="7"/>
        <v>Good</v>
      </c>
      <c r="N123" s="25">
        <v>0</v>
      </c>
      <c r="O123" s="25">
        <v>3.9</v>
      </c>
    </row>
    <row r="124" spans="1:15">
      <c r="A124" s="25" t="s">
        <v>23</v>
      </c>
      <c r="B124" s="25" t="s">
        <v>24</v>
      </c>
      <c r="C124" s="25" t="s">
        <v>17</v>
      </c>
      <c r="D124" s="25" t="s">
        <v>25</v>
      </c>
      <c r="E124" s="25" t="s">
        <v>146</v>
      </c>
      <c r="F124" s="26">
        <v>55068</v>
      </c>
      <c r="G124" s="26">
        <v>55807</v>
      </c>
      <c r="H124" s="27">
        <f t="shared" si="4"/>
        <v>1</v>
      </c>
      <c r="I124" s="26">
        <f t="shared" si="5"/>
        <v>739</v>
      </c>
      <c r="J124" s="25">
        <v>19</v>
      </c>
      <c r="K124" s="28" t="str">
        <f t="shared" si="6"/>
        <v>Achieved</v>
      </c>
      <c r="L124" s="28">
        <v>89.1</v>
      </c>
      <c r="M124" s="29" t="str">
        <f t="shared" si="7"/>
        <v>Low</v>
      </c>
      <c r="N124" s="25">
        <v>5</v>
      </c>
      <c r="O124" s="25">
        <v>4.1</v>
      </c>
    </row>
    <row r="125" spans="1:15">
      <c r="A125" s="25" t="s">
        <v>26</v>
      </c>
      <c r="B125" s="25" t="s">
        <v>27</v>
      </c>
      <c r="C125" s="25" t="s">
        <v>28</v>
      </c>
      <c r="D125" s="25" t="s">
        <v>25</v>
      </c>
      <c r="E125" s="25" t="s">
        <v>146</v>
      </c>
      <c r="F125" s="26">
        <v>50843</v>
      </c>
      <c r="G125" s="26">
        <v>46909</v>
      </c>
      <c r="H125" s="27">
        <f t="shared" si="4"/>
        <v>0.922624550085558</v>
      </c>
      <c r="I125" s="26">
        <f t="shared" si="5"/>
        <v>-3934</v>
      </c>
      <c r="J125" s="25">
        <v>21</v>
      </c>
      <c r="K125" s="28" t="str">
        <f t="shared" si="6"/>
        <v>Not Achieved</v>
      </c>
      <c r="L125" s="28">
        <v>98.6</v>
      </c>
      <c r="M125" s="29" t="str">
        <f t="shared" si="7"/>
        <v>Good</v>
      </c>
      <c r="N125" s="25">
        <v>3</v>
      </c>
      <c r="O125" s="25">
        <v>5</v>
      </c>
    </row>
    <row r="126" spans="1:15">
      <c r="A126" s="25" t="s">
        <v>29</v>
      </c>
      <c r="B126" s="25" t="s">
        <v>30</v>
      </c>
      <c r="C126" s="25" t="s">
        <v>31</v>
      </c>
      <c r="D126" s="25" t="s">
        <v>18</v>
      </c>
      <c r="E126" s="25" t="s">
        <v>146</v>
      </c>
      <c r="F126" s="26">
        <v>42869</v>
      </c>
      <c r="G126" s="26">
        <v>47078</v>
      </c>
      <c r="H126" s="27">
        <f t="shared" si="4"/>
        <v>1</v>
      </c>
      <c r="I126" s="26">
        <f t="shared" si="5"/>
        <v>4209</v>
      </c>
      <c r="J126" s="25">
        <v>17</v>
      </c>
      <c r="K126" s="28" t="str">
        <f t="shared" si="6"/>
        <v>Achieved</v>
      </c>
      <c r="L126" s="28">
        <v>93.4</v>
      </c>
      <c r="M126" s="29" t="str">
        <f t="shared" si="7"/>
        <v>Good</v>
      </c>
      <c r="N126" s="25">
        <v>0</v>
      </c>
      <c r="O126" s="25">
        <v>3.8</v>
      </c>
    </row>
    <row r="127" spans="1:15">
      <c r="A127" s="25" t="s">
        <v>32</v>
      </c>
      <c r="B127" s="25" t="s">
        <v>33</v>
      </c>
      <c r="C127" s="25" t="s">
        <v>34</v>
      </c>
      <c r="D127" s="25" t="s">
        <v>35</v>
      </c>
      <c r="E127" s="25" t="s">
        <v>146</v>
      </c>
      <c r="F127" s="26">
        <v>49485</v>
      </c>
      <c r="G127" s="26">
        <v>39025</v>
      </c>
      <c r="H127" s="27">
        <f t="shared" si="4"/>
        <v>0.788622814994443</v>
      </c>
      <c r="I127" s="26">
        <f t="shared" si="5"/>
        <v>-10460</v>
      </c>
      <c r="J127" s="25">
        <v>13</v>
      </c>
      <c r="K127" s="28" t="str">
        <f t="shared" si="6"/>
        <v>Not Achieved</v>
      </c>
      <c r="L127" s="28">
        <v>98.4</v>
      </c>
      <c r="M127" s="29" t="str">
        <f t="shared" si="7"/>
        <v>Good</v>
      </c>
      <c r="N127" s="25">
        <v>4</v>
      </c>
      <c r="O127" s="25">
        <v>4.3</v>
      </c>
    </row>
    <row r="128" spans="1:15">
      <c r="A128" s="25" t="s">
        <v>36</v>
      </c>
      <c r="B128" s="25" t="s">
        <v>37</v>
      </c>
      <c r="C128" s="25" t="s">
        <v>17</v>
      </c>
      <c r="D128" s="25" t="s">
        <v>18</v>
      </c>
      <c r="E128" s="25" t="s">
        <v>146</v>
      </c>
      <c r="F128" s="26">
        <v>62143</v>
      </c>
      <c r="G128" s="26">
        <v>66595</v>
      </c>
      <c r="H128" s="27">
        <f t="shared" si="4"/>
        <v>1</v>
      </c>
      <c r="I128" s="26">
        <f t="shared" si="5"/>
        <v>4452</v>
      </c>
      <c r="J128" s="25">
        <v>21</v>
      </c>
      <c r="K128" s="28" t="str">
        <f t="shared" si="6"/>
        <v>Achieved</v>
      </c>
      <c r="L128" s="28">
        <v>94.6</v>
      </c>
      <c r="M128" s="29" t="str">
        <f t="shared" si="7"/>
        <v>Good</v>
      </c>
      <c r="N128" s="25">
        <v>0</v>
      </c>
      <c r="O128" s="25">
        <v>3.6</v>
      </c>
    </row>
    <row r="129" spans="1:15">
      <c r="A129" s="25" t="s">
        <v>38</v>
      </c>
      <c r="B129" s="25" t="s">
        <v>39</v>
      </c>
      <c r="C129" s="25" t="s">
        <v>22</v>
      </c>
      <c r="D129" s="25" t="s">
        <v>35</v>
      </c>
      <c r="E129" s="25" t="s">
        <v>146</v>
      </c>
      <c r="F129" s="26">
        <v>51232</v>
      </c>
      <c r="G129" s="26">
        <v>47504</v>
      </c>
      <c r="H129" s="27">
        <f t="shared" si="4"/>
        <v>0.927232979387883</v>
      </c>
      <c r="I129" s="26">
        <f t="shared" si="5"/>
        <v>-3728</v>
      </c>
      <c r="J129" s="25">
        <v>17</v>
      </c>
      <c r="K129" s="28" t="str">
        <f t="shared" si="6"/>
        <v>Not Achieved</v>
      </c>
      <c r="L129" s="28">
        <v>91.3</v>
      </c>
      <c r="M129" s="29" t="str">
        <f t="shared" si="7"/>
        <v>Good</v>
      </c>
      <c r="N129" s="25">
        <v>1</v>
      </c>
      <c r="O129" s="25">
        <v>3.8</v>
      </c>
    </row>
    <row r="130" spans="1:15">
      <c r="A130" s="25" t="s">
        <v>40</v>
      </c>
      <c r="B130" s="25" t="s">
        <v>41</v>
      </c>
      <c r="C130" s="25" t="s">
        <v>28</v>
      </c>
      <c r="D130" s="25" t="s">
        <v>42</v>
      </c>
      <c r="E130" s="25" t="s">
        <v>146</v>
      </c>
      <c r="F130" s="26">
        <v>52316</v>
      </c>
      <c r="G130" s="26">
        <v>52613</v>
      </c>
      <c r="H130" s="27">
        <f t="shared" ref="H130:H181" si="8">MIN(G130/F130,1)</f>
        <v>1</v>
      </c>
      <c r="I130" s="26">
        <f t="shared" ref="I130:I181" si="9">G130-F130</f>
        <v>297</v>
      </c>
      <c r="J130" s="25">
        <v>17</v>
      </c>
      <c r="K130" s="28" t="str">
        <f t="shared" ref="K130:K181" si="10">IF(G130&gt;=F130,"Achieved","Not Achieved")</f>
        <v>Achieved</v>
      </c>
      <c r="L130" s="28">
        <v>98.6</v>
      </c>
      <c r="M130" s="29" t="str">
        <f t="shared" ref="M130:M181" si="11">IF(L130&gt;90,"Good","Low")</f>
        <v>Good</v>
      </c>
      <c r="N130" s="25">
        <v>6</v>
      </c>
      <c r="O130" s="25">
        <v>4.5</v>
      </c>
    </row>
    <row r="131" spans="1:15">
      <c r="A131" s="25" t="s">
        <v>43</v>
      </c>
      <c r="B131" s="25" t="s">
        <v>44</v>
      </c>
      <c r="C131" s="25" t="s">
        <v>34</v>
      </c>
      <c r="D131" s="25" t="s">
        <v>18</v>
      </c>
      <c r="E131" s="25" t="s">
        <v>146</v>
      </c>
      <c r="F131" s="26">
        <v>57248</v>
      </c>
      <c r="G131" s="26">
        <v>46776</v>
      </c>
      <c r="H131" s="27">
        <f t="shared" si="8"/>
        <v>0.817076579094466</v>
      </c>
      <c r="I131" s="26">
        <f t="shared" si="9"/>
        <v>-10472</v>
      </c>
      <c r="J131" s="25">
        <v>14</v>
      </c>
      <c r="K131" s="28" t="str">
        <f t="shared" si="10"/>
        <v>Not Achieved</v>
      </c>
      <c r="L131" s="28">
        <v>88.9</v>
      </c>
      <c r="M131" s="29" t="str">
        <f t="shared" si="11"/>
        <v>Low</v>
      </c>
      <c r="N131" s="25">
        <v>3</v>
      </c>
      <c r="O131" s="25">
        <v>4.7</v>
      </c>
    </row>
    <row r="132" spans="1:15">
      <c r="A132" s="25" t="s">
        <v>45</v>
      </c>
      <c r="B132" s="25" t="s">
        <v>46</v>
      </c>
      <c r="C132" s="25" t="s">
        <v>31</v>
      </c>
      <c r="D132" s="25" t="s">
        <v>42</v>
      </c>
      <c r="E132" s="25" t="s">
        <v>146</v>
      </c>
      <c r="F132" s="26">
        <v>43564</v>
      </c>
      <c r="G132" s="26">
        <v>31420</v>
      </c>
      <c r="H132" s="27">
        <f t="shared" si="8"/>
        <v>0.721237719217703</v>
      </c>
      <c r="I132" s="26">
        <f t="shared" si="9"/>
        <v>-12144</v>
      </c>
      <c r="J132" s="25">
        <v>11</v>
      </c>
      <c r="K132" s="28" t="str">
        <f t="shared" si="10"/>
        <v>Not Achieved</v>
      </c>
      <c r="L132" s="28">
        <v>95.6</v>
      </c>
      <c r="M132" s="29" t="str">
        <f t="shared" si="11"/>
        <v>Good</v>
      </c>
      <c r="N132" s="25">
        <v>2</v>
      </c>
      <c r="O132" s="25">
        <v>4.1</v>
      </c>
    </row>
    <row r="133" spans="1:15">
      <c r="A133" s="25" t="s">
        <v>47</v>
      </c>
      <c r="B133" s="25" t="s">
        <v>48</v>
      </c>
      <c r="C133" s="25" t="s">
        <v>17</v>
      </c>
      <c r="D133" s="25" t="s">
        <v>35</v>
      </c>
      <c r="E133" s="25" t="s">
        <v>146</v>
      </c>
      <c r="F133" s="26">
        <v>57720</v>
      </c>
      <c r="G133" s="26">
        <v>60329</v>
      </c>
      <c r="H133" s="27">
        <f t="shared" si="8"/>
        <v>1</v>
      </c>
      <c r="I133" s="26">
        <f t="shared" si="9"/>
        <v>2609</v>
      </c>
      <c r="J133" s="25">
        <v>22</v>
      </c>
      <c r="K133" s="28" t="str">
        <f t="shared" si="10"/>
        <v>Achieved</v>
      </c>
      <c r="L133" s="28">
        <v>88.8</v>
      </c>
      <c r="M133" s="29" t="str">
        <f t="shared" si="11"/>
        <v>Low</v>
      </c>
      <c r="N133" s="25">
        <v>3</v>
      </c>
      <c r="O133" s="25">
        <v>4.5</v>
      </c>
    </row>
    <row r="134" spans="1:15">
      <c r="A134" s="25" t="s">
        <v>49</v>
      </c>
      <c r="B134" s="25" t="s">
        <v>50</v>
      </c>
      <c r="C134" s="25" t="s">
        <v>17</v>
      </c>
      <c r="D134" s="25" t="s">
        <v>18</v>
      </c>
      <c r="E134" s="25" t="s">
        <v>146</v>
      </c>
      <c r="F134" s="26">
        <v>65963</v>
      </c>
      <c r="G134" s="26">
        <v>66459</v>
      </c>
      <c r="H134" s="27">
        <f t="shared" si="8"/>
        <v>1</v>
      </c>
      <c r="I134" s="26">
        <f t="shared" si="9"/>
        <v>496</v>
      </c>
      <c r="J134" s="25">
        <v>21</v>
      </c>
      <c r="K134" s="28" t="str">
        <f t="shared" si="10"/>
        <v>Achieved</v>
      </c>
      <c r="L134" s="28">
        <v>96.8</v>
      </c>
      <c r="M134" s="29" t="str">
        <f t="shared" si="11"/>
        <v>Good</v>
      </c>
      <c r="N134" s="25">
        <v>3</v>
      </c>
      <c r="O134" s="25">
        <v>4.3</v>
      </c>
    </row>
    <row r="135" spans="1:15">
      <c r="A135" s="25" t="s">
        <v>51</v>
      </c>
      <c r="B135" s="25" t="s">
        <v>52</v>
      </c>
      <c r="C135" s="25" t="s">
        <v>22</v>
      </c>
      <c r="D135" s="25" t="s">
        <v>25</v>
      </c>
      <c r="E135" s="25" t="s">
        <v>146</v>
      </c>
      <c r="F135" s="26">
        <v>48683</v>
      </c>
      <c r="G135" s="26">
        <v>49555</v>
      </c>
      <c r="H135" s="27">
        <f t="shared" si="8"/>
        <v>1</v>
      </c>
      <c r="I135" s="26">
        <f t="shared" si="9"/>
        <v>872</v>
      </c>
      <c r="J135" s="25">
        <v>21</v>
      </c>
      <c r="K135" s="28" t="str">
        <f t="shared" si="10"/>
        <v>Achieved</v>
      </c>
      <c r="L135" s="28">
        <v>97.1</v>
      </c>
      <c r="M135" s="29" t="str">
        <f t="shared" si="11"/>
        <v>Good</v>
      </c>
      <c r="N135" s="25">
        <v>4</v>
      </c>
      <c r="O135" s="25">
        <v>4.2</v>
      </c>
    </row>
    <row r="136" spans="1:15">
      <c r="A136" s="25" t="s">
        <v>53</v>
      </c>
      <c r="B136" s="25" t="s">
        <v>54</v>
      </c>
      <c r="C136" s="25" t="s">
        <v>28</v>
      </c>
      <c r="D136" s="25" t="s">
        <v>35</v>
      </c>
      <c r="E136" s="25" t="s">
        <v>146</v>
      </c>
      <c r="F136" s="26">
        <v>48039</v>
      </c>
      <c r="G136" s="26">
        <v>47737</v>
      </c>
      <c r="H136" s="27">
        <f t="shared" si="8"/>
        <v>0.993713441162389</v>
      </c>
      <c r="I136" s="26">
        <f t="shared" si="9"/>
        <v>-302</v>
      </c>
      <c r="J136" s="25">
        <v>16</v>
      </c>
      <c r="K136" s="28" t="str">
        <f t="shared" si="10"/>
        <v>Not Achieved</v>
      </c>
      <c r="L136" s="28">
        <v>98.1</v>
      </c>
      <c r="M136" s="29" t="str">
        <f t="shared" si="11"/>
        <v>Good</v>
      </c>
      <c r="N136" s="25">
        <v>1</v>
      </c>
      <c r="O136" s="25">
        <v>4.3</v>
      </c>
    </row>
    <row r="137" spans="1:15">
      <c r="A137" s="25" t="s">
        <v>55</v>
      </c>
      <c r="B137" s="25" t="s">
        <v>56</v>
      </c>
      <c r="C137" s="25" t="s">
        <v>31</v>
      </c>
      <c r="D137" s="25" t="s">
        <v>42</v>
      </c>
      <c r="E137" s="25" t="s">
        <v>146</v>
      </c>
      <c r="F137" s="26">
        <v>45982</v>
      </c>
      <c r="G137" s="26">
        <v>47908</v>
      </c>
      <c r="H137" s="27">
        <f t="shared" si="8"/>
        <v>1</v>
      </c>
      <c r="I137" s="26">
        <f t="shared" si="9"/>
        <v>1926</v>
      </c>
      <c r="J137" s="25">
        <v>20</v>
      </c>
      <c r="K137" s="28" t="str">
        <f t="shared" si="10"/>
        <v>Achieved</v>
      </c>
      <c r="L137" s="28">
        <v>93.5</v>
      </c>
      <c r="M137" s="29" t="str">
        <f t="shared" si="11"/>
        <v>Good</v>
      </c>
      <c r="N137" s="25">
        <v>2</v>
      </c>
      <c r="O137" s="25">
        <v>4.1</v>
      </c>
    </row>
    <row r="138" spans="1:15">
      <c r="A138" s="25" t="s">
        <v>57</v>
      </c>
      <c r="B138" s="25" t="s">
        <v>58</v>
      </c>
      <c r="C138" s="25" t="s">
        <v>34</v>
      </c>
      <c r="D138" s="25" t="s">
        <v>18</v>
      </c>
      <c r="E138" s="25" t="s">
        <v>146</v>
      </c>
      <c r="F138" s="26">
        <v>47653</v>
      </c>
      <c r="G138" s="26">
        <v>53807</v>
      </c>
      <c r="H138" s="27">
        <f t="shared" si="8"/>
        <v>1</v>
      </c>
      <c r="I138" s="26">
        <f t="shared" si="9"/>
        <v>6154</v>
      </c>
      <c r="J138" s="25">
        <v>21</v>
      </c>
      <c r="K138" s="28" t="str">
        <f t="shared" si="10"/>
        <v>Achieved</v>
      </c>
      <c r="L138" s="28">
        <v>94.6</v>
      </c>
      <c r="M138" s="29" t="str">
        <f t="shared" si="11"/>
        <v>Good</v>
      </c>
      <c r="N138" s="25">
        <v>4</v>
      </c>
      <c r="O138" s="25">
        <v>4.2</v>
      </c>
    </row>
    <row r="139" spans="1:15">
      <c r="A139" s="25" t="s">
        <v>59</v>
      </c>
      <c r="B139" s="25" t="s">
        <v>60</v>
      </c>
      <c r="C139" s="25" t="s">
        <v>17</v>
      </c>
      <c r="D139" s="25" t="s">
        <v>25</v>
      </c>
      <c r="E139" s="25" t="s">
        <v>146</v>
      </c>
      <c r="F139" s="26">
        <v>64047</v>
      </c>
      <c r="G139" s="26">
        <v>70743</v>
      </c>
      <c r="H139" s="27">
        <f t="shared" si="8"/>
        <v>1</v>
      </c>
      <c r="I139" s="26">
        <f t="shared" si="9"/>
        <v>6696</v>
      </c>
      <c r="J139" s="25">
        <v>23</v>
      </c>
      <c r="K139" s="28" t="str">
        <f t="shared" si="10"/>
        <v>Achieved</v>
      </c>
      <c r="L139" s="28">
        <v>94.5</v>
      </c>
      <c r="M139" s="29" t="str">
        <f t="shared" si="11"/>
        <v>Good</v>
      </c>
      <c r="N139" s="25">
        <v>6</v>
      </c>
      <c r="O139" s="25">
        <v>4.2</v>
      </c>
    </row>
    <row r="140" spans="1:15">
      <c r="A140" s="25" t="s">
        <v>61</v>
      </c>
      <c r="B140" s="25" t="s">
        <v>62</v>
      </c>
      <c r="C140" s="25" t="s">
        <v>22</v>
      </c>
      <c r="D140" s="25" t="s">
        <v>35</v>
      </c>
      <c r="E140" s="25" t="s">
        <v>146</v>
      </c>
      <c r="F140" s="26">
        <v>58458</v>
      </c>
      <c r="G140" s="26">
        <v>49337</v>
      </c>
      <c r="H140" s="27">
        <f t="shared" si="8"/>
        <v>0.843973451024667</v>
      </c>
      <c r="I140" s="26">
        <f t="shared" si="9"/>
        <v>-9121</v>
      </c>
      <c r="J140" s="25">
        <v>26</v>
      </c>
      <c r="K140" s="28" t="str">
        <f t="shared" si="10"/>
        <v>Not Achieved</v>
      </c>
      <c r="L140" s="28">
        <v>96.4</v>
      </c>
      <c r="M140" s="29" t="str">
        <f t="shared" si="11"/>
        <v>Good</v>
      </c>
      <c r="N140" s="25">
        <v>4</v>
      </c>
      <c r="O140" s="25">
        <v>4.6</v>
      </c>
    </row>
    <row r="141" spans="1:15">
      <c r="A141" s="25" t="s">
        <v>63</v>
      </c>
      <c r="B141" s="25" t="s">
        <v>64</v>
      </c>
      <c r="C141" s="25" t="s">
        <v>28</v>
      </c>
      <c r="D141" s="25" t="s">
        <v>42</v>
      </c>
      <c r="E141" s="25" t="s">
        <v>146</v>
      </c>
      <c r="F141" s="26">
        <v>50245</v>
      </c>
      <c r="G141" s="26">
        <v>57349</v>
      </c>
      <c r="H141" s="27">
        <f t="shared" si="8"/>
        <v>1</v>
      </c>
      <c r="I141" s="26">
        <f t="shared" si="9"/>
        <v>7104</v>
      </c>
      <c r="J141" s="25">
        <v>26</v>
      </c>
      <c r="K141" s="28" t="str">
        <f t="shared" si="10"/>
        <v>Achieved</v>
      </c>
      <c r="L141" s="28">
        <v>99</v>
      </c>
      <c r="M141" s="29" t="str">
        <f t="shared" si="11"/>
        <v>Good</v>
      </c>
      <c r="N141" s="25">
        <v>0</v>
      </c>
      <c r="O141" s="25">
        <v>4.4</v>
      </c>
    </row>
    <row r="142" spans="1:15">
      <c r="A142" s="25" t="s">
        <v>65</v>
      </c>
      <c r="B142" s="25" t="s">
        <v>66</v>
      </c>
      <c r="C142" s="25" t="s">
        <v>31</v>
      </c>
      <c r="D142" s="25" t="s">
        <v>18</v>
      </c>
      <c r="E142" s="25" t="s">
        <v>146</v>
      </c>
      <c r="F142" s="26">
        <v>42494</v>
      </c>
      <c r="G142" s="26">
        <v>39783</v>
      </c>
      <c r="H142" s="27">
        <f t="shared" si="8"/>
        <v>0.936202758036429</v>
      </c>
      <c r="I142" s="26">
        <f t="shared" si="9"/>
        <v>-2711</v>
      </c>
      <c r="J142" s="25">
        <v>15</v>
      </c>
      <c r="K142" s="28" t="str">
        <f t="shared" si="10"/>
        <v>Not Achieved</v>
      </c>
      <c r="L142" s="28">
        <v>91.7</v>
      </c>
      <c r="M142" s="29" t="str">
        <f t="shared" si="11"/>
        <v>Good</v>
      </c>
      <c r="N142" s="25">
        <v>1</v>
      </c>
      <c r="O142" s="25">
        <v>3.3</v>
      </c>
    </row>
    <row r="143" spans="1:15">
      <c r="A143" s="25" t="s">
        <v>67</v>
      </c>
      <c r="B143" s="25" t="s">
        <v>68</v>
      </c>
      <c r="C143" s="25" t="s">
        <v>34</v>
      </c>
      <c r="D143" s="25" t="s">
        <v>25</v>
      </c>
      <c r="E143" s="25" t="s">
        <v>146</v>
      </c>
      <c r="F143" s="26">
        <v>52403</v>
      </c>
      <c r="G143" s="26">
        <v>47653</v>
      </c>
      <c r="H143" s="27">
        <f t="shared" si="8"/>
        <v>0.909356334560998</v>
      </c>
      <c r="I143" s="26">
        <f t="shared" si="9"/>
        <v>-4750</v>
      </c>
      <c r="J143" s="25">
        <v>16</v>
      </c>
      <c r="K143" s="28" t="str">
        <f t="shared" si="10"/>
        <v>Not Achieved</v>
      </c>
      <c r="L143" s="28">
        <v>91.2</v>
      </c>
      <c r="M143" s="29" t="str">
        <f t="shared" si="11"/>
        <v>Good</v>
      </c>
      <c r="N143" s="25">
        <v>6</v>
      </c>
      <c r="O143" s="25">
        <v>3.8</v>
      </c>
    </row>
    <row r="144" spans="1:15">
      <c r="A144" s="25" t="s">
        <v>69</v>
      </c>
      <c r="B144" s="25" t="s">
        <v>70</v>
      </c>
      <c r="C144" s="25" t="s">
        <v>17</v>
      </c>
      <c r="D144" s="25" t="s">
        <v>35</v>
      </c>
      <c r="E144" s="25" t="s">
        <v>146</v>
      </c>
      <c r="F144" s="26">
        <v>62012</v>
      </c>
      <c r="G144" s="26">
        <v>45695</v>
      </c>
      <c r="H144" s="27">
        <f t="shared" si="8"/>
        <v>0.736873508353222</v>
      </c>
      <c r="I144" s="26">
        <f t="shared" si="9"/>
        <v>-16317</v>
      </c>
      <c r="J144" s="25">
        <v>23</v>
      </c>
      <c r="K144" s="28" t="str">
        <f t="shared" si="10"/>
        <v>Not Achieved</v>
      </c>
      <c r="L144" s="28">
        <v>91.5</v>
      </c>
      <c r="M144" s="29" t="str">
        <f t="shared" si="11"/>
        <v>Good</v>
      </c>
      <c r="N144" s="25">
        <v>1</v>
      </c>
      <c r="O144" s="25">
        <v>5</v>
      </c>
    </row>
    <row r="145" spans="1:15">
      <c r="A145" s="25" t="s">
        <v>71</v>
      </c>
      <c r="B145" s="25" t="s">
        <v>72</v>
      </c>
      <c r="C145" s="25" t="s">
        <v>22</v>
      </c>
      <c r="D145" s="25" t="s">
        <v>42</v>
      </c>
      <c r="E145" s="25" t="s">
        <v>146</v>
      </c>
      <c r="F145" s="26">
        <v>51622</v>
      </c>
      <c r="G145" s="26">
        <v>57706</v>
      </c>
      <c r="H145" s="27">
        <f t="shared" si="8"/>
        <v>1</v>
      </c>
      <c r="I145" s="26">
        <f t="shared" si="9"/>
        <v>6084</v>
      </c>
      <c r="J145" s="25">
        <v>32</v>
      </c>
      <c r="K145" s="28" t="str">
        <f t="shared" si="10"/>
        <v>Achieved</v>
      </c>
      <c r="L145" s="28">
        <v>95.2</v>
      </c>
      <c r="M145" s="29" t="str">
        <f t="shared" si="11"/>
        <v>Good</v>
      </c>
      <c r="N145" s="25">
        <v>1</v>
      </c>
      <c r="O145" s="25">
        <v>4</v>
      </c>
    </row>
    <row r="146" spans="1:15">
      <c r="A146" s="25" t="s">
        <v>73</v>
      </c>
      <c r="B146" s="25" t="s">
        <v>74</v>
      </c>
      <c r="C146" s="25" t="s">
        <v>28</v>
      </c>
      <c r="D146" s="25" t="s">
        <v>18</v>
      </c>
      <c r="E146" s="25" t="s">
        <v>146</v>
      </c>
      <c r="F146" s="26">
        <v>46073</v>
      </c>
      <c r="G146" s="26">
        <v>44160</v>
      </c>
      <c r="H146" s="27">
        <f t="shared" si="8"/>
        <v>0.958478935602197</v>
      </c>
      <c r="I146" s="26">
        <f t="shared" si="9"/>
        <v>-1913</v>
      </c>
      <c r="J146" s="25">
        <v>14</v>
      </c>
      <c r="K146" s="28" t="str">
        <f t="shared" si="10"/>
        <v>Not Achieved</v>
      </c>
      <c r="L146" s="28">
        <v>96.3</v>
      </c>
      <c r="M146" s="29" t="str">
        <f t="shared" si="11"/>
        <v>Good</v>
      </c>
      <c r="N146" s="25">
        <v>1</v>
      </c>
      <c r="O146" s="25">
        <v>3.6</v>
      </c>
    </row>
    <row r="147" spans="1:15">
      <c r="A147" s="25" t="s">
        <v>75</v>
      </c>
      <c r="B147" s="25" t="s">
        <v>76</v>
      </c>
      <c r="C147" s="25" t="s">
        <v>31</v>
      </c>
      <c r="D147" s="25" t="s">
        <v>25</v>
      </c>
      <c r="E147" s="25" t="s">
        <v>146</v>
      </c>
      <c r="F147" s="26">
        <v>44335</v>
      </c>
      <c r="G147" s="26">
        <v>37368</v>
      </c>
      <c r="H147" s="27">
        <f t="shared" si="8"/>
        <v>0.842855531746927</v>
      </c>
      <c r="I147" s="26">
        <f t="shared" si="9"/>
        <v>-6967</v>
      </c>
      <c r="J147" s="25">
        <v>18</v>
      </c>
      <c r="K147" s="28" t="str">
        <f t="shared" si="10"/>
        <v>Not Achieved</v>
      </c>
      <c r="L147" s="28">
        <v>98.2</v>
      </c>
      <c r="M147" s="29" t="str">
        <f t="shared" si="11"/>
        <v>Good</v>
      </c>
      <c r="N147" s="25">
        <v>0</v>
      </c>
      <c r="O147" s="25">
        <v>4.4</v>
      </c>
    </row>
    <row r="148" spans="1:15">
      <c r="A148" s="25" t="s">
        <v>77</v>
      </c>
      <c r="B148" s="25" t="s">
        <v>78</v>
      </c>
      <c r="C148" s="25" t="s">
        <v>34</v>
      </c>
      <c r="D148" s="25" t="s">
        <v>35</v>
      </c>
      <c r="E148" s="25" t="s">
        <v>146</v>
      </c>
      <c r="F148" s="26">
        <v>48989</v>
      </c>
      <c r="G148" s="26">
        <v>35923</v>
      </c>
      <c r="H148" s="27">
        <f t="shared" si="8"/>
        <v>0.733287064443038</v>
      </c>
      <c r="I148" s="26">
        <f t="shared" si="9"/>
        <v>-13066</v>
      </c>
      <c r="J148" s="25">
        <v>11</v>
      </c>
      <c r="K148" s="28" t="str">
        <f t="shared" si="10"/>
        <v>Not Achieved</v>
      </c>
      <c r="L148" s="28">
        <v>94.7</v>
      </c>
      <c r="M148" s="29" t="str">
        <f t="shared" si="11"/>
        <v>Good</v>
      </c>
      <c r="N148" s="25">
        <v>3</v>
      </c>
      <c r="O148" s="25">
        <v>4.4</v>
      </c>
    </row>
    <row r="149" spans="1:15">
      <c r="A149" s="25" t="s">
        <v>79</v>
      </c>
      <c r="B149" s="25" t="s">
        <v>80</v>
      </c>
      <c r="C149" s="25" t="s">
        <v>17</v>
      </c>
      <c r="D149" s="25" t="s">
        <v>42</v>
      </c>
      <c r="E149" s="25" t="s">
        <v>146</v>
      </c>
      <c r="F149" s="26">
        <v>62024</v>
      </c>
      <c r="G149" s="26">
        <v>45047</v>
      </c>
      <c r="H149" s="27">
        <f t="shared" si="8"/>
        <v>0.726283374177738</v>
      </c>
      <c r="I149" s="26">
        <f t="shared" si="9"/>
        <v>-16977</v>
      </c>
      <c r="J149" s="25">
        <v>17</v>
      </c>
      <c r="K149" s="28" t="str">
        <f t="shared" si="10"/>
        <v>Not Achieved</v>
      </c>
      <c r="L149" s="28">
        <v>89</v>
      </c>
      <c r="M149" s="29" t="str">
        <f t="shared" si="11"/>
        <v>Low</v>
      </c>
      <c r="N149" s="25">
        <v>7</v>
      </c>
      <c r="O149" s="25">
        <v>4.1</v>
      </c>
    </row>
    <row r="150" spans="1:15">
      <c r="A150" s="25" t="s">
        <v>81</v>
      </c>
      <c r="B150" s="25" t="s">
        <v>82</v>
      </c>
      <c r="C150" s="25" t="s">
        <v>22</v>
      </c>
      <c r="D150" s="25" t="s">
        <v>18</v>
      </c>
      <c r="E150" s="25" t="s">
        <v>146</v>
      </c>
      <c r="F150" s="26">
        <v>52560</v>
      </c>
      <c r="G150" s="26">
        <v>60741</v>
      </c>
      <c r="H150" s="27">
        <f t="shared" si="8"/>
        <v>1</v>
      </c>
      <c r="I150" s="26">
        <f t="shared" si="9"/>
        <v>8181</v>
      </c>
      <c r="J150" s="25">
        <v>19</v>
      </c>
      <c r="K150" s="28" t="str">
        <f t="shared" si="10"/>
        <v>Achieved</v>
      </c>
      <c r="L150" s="28">
        <v>97.2</v>
      </c>
      <c r="M150" s="29" t="str">
        <f t="shared" si="11"/>
        <v>Good</v>
      </c>
      <c r="N150" s="25">
        <v>0</v>
      </c>
      <c r="O150" s="25">
        <v>4.1</v>
      </c>
    </row>
    <row r="151" spans="1:15">
      <c r="A151" s="25" t="s">
        <v>83</v>
      </c>
      <c r="B151" s="25" t="s">
        <v>84</v>
      </c>
      <c r="C151" s="25" t="s">
        <v>28</v>
      </c>
      <c r="D151" s="25" t="s">
        <v>25</v>
      </c>
      <c r="E151" s="25" t="s">
        <v>146</v>
      </c>
      <c r="F151" s="26">
        <v>51337</v>
      </c>
      <c r="G151" s="26">
        <v>53621</v>
      </c>
      <c r="H151" s="27">
        <f t="shared" si="8"/>
        <v>1</v>
      </c>
      <c r="I151" s="26">
        <f t="shared" si="9"/>
        <v>2284</v>
      </c>
      <c r="J151" s="25">
        <v>20</v>
      </c>
      <c r="K151" s="28" t="str">
        <f t="shared" si="10"/>
        <v>Achieved</v>
      </c>
      <c r="L151" s="28">
        <v>97.2</v>
      </c>
      <c r="M151" s="29" t="str">
        <f t="shared" si="11"/>
        <v>Good</v>
      </c>
      <c r="N151" s="25">
        <v>4</v>
      </c>
      <c r="O151" s="25">
        <v>4.1</v>
      </c>
    </row>
    <row r="152" spans="1:15">
      <c r="A152" s="25" t="s">
        <v>85</v>
      </c>
      <c r="B152" s="25" t="s">
        <v>86</v>
      </c>
      <c r="C152" s="25" t="s">
        <v>31</v>
      </c>
      <c r="D152" s="25" t="s">
        <v>35</v>
      </c>
      <c r="E152" s="25" t="s">
        <v>146</v>
      </c>
      <c r="F152" s="26">
        <v>50031</v>
      </c>
      <c r="G152" s="26">
        <v>39351</v>
      </c>
      <c r="H152" s="27">
        <f t="shared" si="8"/>
        <v>0.786532349943035</v>
      </c>
      <c r="I152" s="26">
        <f t="shared" si="9"/>
        <v>-10680</v>
      </c>
      <c r="J152" s="25">
        <v>17</v>
      </c>
      <c r="K152" s="28" t="str">
        <f t="shared" si="10"/>
        <v>Not Achieved</v>
      </c>
      <c r="L152" s="28">
        <v>98.1</v>
      </c>
      <c r="M152" s="29" t="str">
        <f t="shared" si="11"/>
        <v>Good</v>
      </c>
      <c r="N152" s="25">
        <v>0</v>
      </c>
      <c r="O152" s="25">
        <v>4.1</v>
      </c>
    </row>
    <row r="153" spans="1:15">
      <c r="A153" s="25" t="s">
        <v>87</v>
      </c>
      <c r="B153" s="25" t="s">
        <v>88</v>
      </c>
      <c r="C153" s="25" t="s">
        <v>34</v>
      </c>
      <c r="D153" s="25" t="s">
        <v>42</v>
      </c>
      <c r="E153" s="25" t="s">
        <v>146</v>
      </c>
      <c r="F153" s="26">
        <v>48143</v>
      </c>
      <c r="G153" s="26">
        <v>40781</v>
      </c>
      <c r="H153" s="27">
        <f t="shared" si="8"/>
        <v>0.847080572461209</v>
      </c>
      <c r="I153" s="26">
        <f t="shared" si="9"/>
        <v>-7362</v>
      </c>
      <c r="J153" s="25">
        <v>15</v>
      </c>
      <c r="K153" s="28" t="str">
        <f t="shared" si="10"/>
        <v>Not Achieved</v>
      </c>
      <c r="L153" s="28">
        <v>91.7</v>
      </c>
      <c r="M153" s="29" t="str">
        <f t="shared" si="11"/>
        <v>Good</v>
      </c>
      <c r="N153" s="25">
        <v>3</v>
      </c>
      <c r="O153" s="25">
        <v>3.8</v>
      </c>
    </row>
    <row r="154" spans="1:15">
      <c r="A154" s="25" t="s">
        <v>89</v>
      </c>
      <c r="B154" s="25" t="s">
        <v>90</v>
      </c>
      <c r="C154" s="25" t="s">
        <v>17</v>
      </c>
      <c r="D154" s="25" t="s">
        <v>18</v>
      </c>
      <c r="E154" s="25" t="s">
        <v>146</v>
      </c>
      <c r="F154" s="26">
        <v>53042</v>
      </c>
      <c r="G154" s="26">
        <v>45091</v>
      </c>
      <c r="H154" s="27">
        <f t="shared" si="8"/>
        <v>0.850099920817465</v>
      </c>
      <c r="I154" s="26">
        <f t="shared" si="9"/>
        <v>-7951</v>
      </c>
      <c r="J154" s="25">
        <v>18</v>
      </c>
      <c r="K154" s="28" t="str">
        <f t="shared" si="10"/>
        <v>Not Achieved</v>
      </c>
      <c r="L154" s="28">
        <v>97.2</v>
      </c>
      <c r="M154" s="29" t="str">
        <f t="shared" si="11"/>
        <v>Good</v>
      </c>
      <c r="N154" s="25">
        <v>0</v>
      </c>
      <c r="O154" s="25">
        <v>3.8</v>
      </c>
    </row>
    <row r="155" spans="1:15">
      <c r="A155" s="25" t="s">
        <v>91</v>
      </c>
      <c r="B155" s="25" t="s">
        <v>92</v>
      </c>
      <c r="C155" s="25" t="s">
        <v>22</v>
      </c>
      <c r="D155" s="25" t="s">
        <v>25</v>
      </c>
      <c r="E155" s="25" t="s">
        <v>146</v>
      </c>
      <c r="F155" s="26">
        <v>47434</v>
      </c>
      <c r="G155" s="26">
        <v>43896</v>
      </c>
      <c r="H155" s="27">
        <f t="shared" si="8"/>
        <v>0.9254121516212</v>
      </c>
      <c r="I155" s="26">
        <f t="shared" si="9"/>
        <v>-3538</v>
      </c>
      <c r="J155" s="25">
        <v>15</v>
      </c>
      <c r="K155" s="28" t="str">
        <f t="shared" si="10"/>
        <v>Not Achieved</v>
      </c>
      <c r="L155" s="28">
        <v>91.8</v>
      </c>
      <c r="M155" s="29" t="str">
        <f t="shared" si="11"/>
        <v>Good</v>
      </c>
      <c r="N155" s="25">
        <v>1</v>
      </c>
      <c r="O155" s="25">
        <v>3.9</v>
      </c>
    </row>
    <row r="156" spans="1:15">
      <c r="A156" s="25" t="s">
        <v>93</v>
      </c>
      <c r="B156" s="25" t="s">
        <v>94</v>
      </c>
      <c r="C156" s="25" t="s">
        <v>28</v>
      </c>
      <c r="D156" s="25" t="s">
        <v>35</v>
      </c>
      <c r="E156" s="25" t="s">
        <v>146</v>
      </c>
      <c r="F156" s="26">
        <v>50460</v>
      </c>
      <c r="G156" s="26">
        <v>57984</v>
      </c>
      <c r="H156" s="27">
        <f t="shared" si="8"/>
        <v>1</v>
      </c>
      <c r="I156" s="26">
        <f t="shared" si="9"/>
        <v>7524</v>
      </c>
      <c r="J156" s="25">
        <v>26</v>
      </c>
      <c r="K156" s="28" t="str">
        <f t="shared" si="10"/>
        <v>Achieved</v>
      </c>
      <c r="L156" s="28">
        <v>98.8</v>
      </c>
      <c r="M156" s="29" t="str">
        <f t="shared" si="11"/>
        <v>Good</v>
      </c>
      <c r="N156" s="25">
        <v>3</v>
      </c>
      <c r="O156" s="25">
        <v>4.5</v>
      </c>
    </row>
    <row r="157" spans="1:15">
      <c r="A157" s="25" t="s">
        <v>95</v>
      </c>
      <c r="B157" s="25" t="s">
        <v>96</v>
      </c>
      <c r="C157" s="25" t="s">
        <v>31</v>
      </c>
      <c r="D157" s="25" t="s">
        <v>42</v>
      </c>
      <c r="E157" s="25" t="s">
        <v>146</v>
      </c>
      <c r="F157" s="26">
        <v>53706</v>
      </c>
      <c r="G157" s="26">
        <v>48816</v>
      </c>
      <c r="H157" s="27">
        <f t="shared" si="8"/>
        <v>0.908948720813317</v>
      </c>
      <c r="I157" s="26">
        <f t="shared" si="9"/>
        <v>-4890</v>
      </c>
      <c r="J157" s="25">
        <v>19</v>
      </c>
      <c r="K157" s="28" t="str">
        <f t="shared" si="10"/>
        <v>Not Achieved</v>
      </c>
      <c r="L157" s="28">
        <v>96.2</v>
      </c>
      <c r="M157" s="29" t="str">
        <f t="shared" si="11"/>
        <v>Good</v>
      </c>
      <c r="N157" s="25">
        <v>2</v>
      </c>
      <c r="O157" s="25">
        <v>3.3</v>
      </c>
    </row>
    <row r="158" spans="1:15">
      <c r="A158" s="25" t="s">
        <v>97</v>
      </c>
      <c r="B158" s="25" t="s">
        <v>98</v>
      </c>
      <c r="C158" s="25" t="s">
        <v>34</v>
      </c>
      <c r="D158" s="25" t="s">
        <v>18</v>
      </c>
      <c r="E158" s="25" t="s">
        <v>146</v>
      </c>
      <c r="F158" s="26">
        <v>53325</v>
      </c>
      <c r="G158" s="26">
        <v>62639</v>
      </c>
      <c r="H158" s="27">
        <f t="shared" si="8"/>
        <v>1</v>
      </c>
      <c r="I158" s="26">
        <f t="shared" si="9"/>
        <v>9314</v>
      </c>
      <c r="J158" s="25">
        <v>19</v>
      </c>
      <c r="K158" s="28" t="str">
        <f t="shared" si="10"/>
        <v>Achieved</v>
      </c>
      <c r="L158" s="28">
        <v>98.8</v>
      </c>
      <c r="M158" s="29" t="str">
        <f t="shared" si="11"/>
        <v>Good</v>
      </c>
      <c r="N158" s="25">
        <v>2</v>
      </c>
      <c r="O158" s="25">
        <v>4.1</v>
      </c>
    </row>
    <row r="159" spans="1:15">
      <c r="A159" s="25" t="s">
        <v>99</v>
      </c>
      <c r="B159" s="25" t="s">
        <v>100</v>
      </c>
      <c r="C159" s="25" t="s">
        <v>17</v>
      </c>
      <c r="D159" s="25" t="s">
        <v>25</v>
      </c>
      <c r="E159" s="25" t="s">
        <v>146</v>
      </c>
      <c r="F159" s="26">
        <v>61229</v>
      </c>
      <c r="G159" s="26">
        <v>71274</v>
      </c>
      <c r="H159" s="27">
        <f t="shared" si="8"/>
        <v>1</v>
      </c>
      <c r="I159" s="26">
        <f t="shared" si="9"/>
        <v>10045</v>
      </c>
      <c r="J159" s="25">
        <v>28</v>
      </c>
      <c r="K159" s="28" t="str">
        <f t="shared" si="10"/>
        <v>Achieved</v>
      </c>
      <c r="L159" s="28">
        <v>97.6</v>
      </c>
      <c r="M159" s="29" t="str">
        <f t="shared" si="11"/>
        <v>Good</v>
      </c>
      <c r="N159" s="25">
        <v>5</v>
      </c>
      <c r="O159" s="25">
        <v>3.8</v>
      </c>
    </row>
    <row r="160" spans="1:15">
      <c r="A160" s="25" t="s">
        <v>101</v>
      </c>
      <c r="B160" s="25" t="s">
        <v>102</v>
      </c>
      <c r="C160" s="25" t="s">
        <v>22</v>
      </c>
      <c r="D160" s="25" t="s">
        <v>35</v>
      </c>
      <c r="E160" s="25" t="s">
        <v>146</v>
      </c>
      <c r="F160" s="26">
        <v>53617</v>
      </c>
      <c r="G160" s="26">
        <v>61059</v>
      </c>
      <c r="H160" s="27">
        <f t="shared" si="8"/>
        <v>1</v>
      </c>
      <c r="I160" s="26">
        <f t="shared" si="9"/>
        <v>7442</v>
      </c>
      <c r="J160" s="25">
        <v>33</v>
      </c>
      <c r="K160" s="28" t="str">
        <f t="shared" si="10"/>
        <v>Achieved</v>
      </c>
      <c r="L160" s="28">
        <v>95.9</v>
      </c>
      <c r="M160" s="29" t="str">
        <f t="shared" si="11"/>
        <v>Good</v>
      </c>
      <c r="N160" s="25">
        <v>1</v>
      </c>
      <c r="O160" s="25">
        <v>4.5</v>
      </c>
    </row>
    <row r="161" spans="1:15">
      <c r="A161" s="25" t="s">
        <v>103</v>
      </c>
      <c r="B161" s="25" t="s">
        <v>104</v>
      </c>
      <c r="C161" s="25" t="s">
        <v>28</v>
      </c>
      <c r="D161" s="25" t="s">
        <v>42</v>
      </c>
      <c r="E161" s="25" t="s">
        <v>146</v>
      </c>
      <c r="F161" s="26">
        <v>45529</v>
      </c>
      <c r="G161" s="26">
        <v>34348</v>
      </c>
      <c r="H161" s="27">
        <f t="shared" si="8"/>
        <v>0.754420259614751</v>
      </c>
      <c r="I161" s="26">
        <f t="shared" si="9"/>
        <v>-11181</v>
      </c>
      <c r="J161" s="25">
        <v>14</v>
      </c>
      <c r="K161" s="28" t="str">
        <f t="shared" si="10"/>
        <v>Not Achieved</v>
      </c>
      <c r="L161" s="28">
        <v>91.7</v>
      </c>
      <c r="M161" s="29" t="str">
        <f t="shared" si="11"/>
        <v>Good</v>
      </c>
      <c r="N161" s="25">
        <v>2</v>
      </c>
      <c r="O161" s="25">
        <v>3.5</v>
      </c>
    </row>
    <row r="162" spans="1:15">
      <c r="A162" s="25" t="s">
        <v>105</v>
      </c>
      <c r="B162" s="25" t="s">
        <v>106</v>
      </c>
      <c r="C162" s="25" t="s">
        <v>31</v>
      </c>
      <c r="D162" s="25" t="s">
        <v>18</v>
      </c>
      <c r="E162" s="25" t="s">
        <v>146</v>
      </c>
      <c r="F162" s="26">
        <v>54955</v>
      </c>
      <c r="G162" s="26">
        <v>47874</v>
      </c>
      <c r="H162" s="27">
        <f t="shared" si="8"/>
        <v>0.871149122008916</v>
      </c>
      <c r="I162" s="26">
        <f t="shared" si="9"/>
        <v>-7081</v>
      </c>
      <c r="J162" s="25">
        <v>15</v>
      </c>
      <c r="K162" s="28" t="str">
        <f t="shared" si="10"/>
        <v>Not Achieved</v>
      </c>
      <c r="L162" s="28">
        <v>97.5</v>
      </c>
      <c r="M162" s="29" t="str">
        <f t="shared" si="11"/>
        <v>Good</v>
      </c>
      <c r="N162" s="25">
        <v>2</v>
      </c>
      <c r="O162" s="25">
        <v>4.4</v>
      </c>
    </row>
    <row r="163" spans="1:15">
      <c r="A163" s="25" t="s">
        <v>107</v>
      </c>
      <c r="B163" s="25" t="s">
        <v>108</v>
      </c>
      <c r="C163" s="25" t="s">
        <v>34</v>
      </c>
      <c r="D163" s="25" t="s">
        <v>25</v>
      </c>
      <c r="E163" s="25" t="s">
        <v>146</v>
      </c>
      <c r="F163" s="26">
        <v>58775</v>
      </c>
      <c r="G163" s="26">
        <v>66311</v>
      </c>
      <c r="H163" s="27">
        <f t="shared" si="8"/>
        <v>1</v>
      </c>
      <c r="I163" s="26">
        <f t="shared" si="9"/>
        <v>7536</v>
      </c>
      <c r="J163" s="25">
        <v>23</v>
      </c>
      <c r="K163" s="28" t="str">
        <f t="shared" si="10"/>
        <v>Achieved</v>
      </c>
      <c r="L163" s="28">
        <v>97.6</v>
      </c>
      <c r="M163" s="29" t="str">
        <f t="shared" si="11"/>
        <v>Good</v>
      </c>
      <c r="N163" s="25">
        <v>4</v>
      </c>
      <c r="O163" s="25">
        <v>4.1</v>
      </c>
    </row>
    <row r="164" spans="1:15">
      <c r="A164" s="25" t="s">
        <v>109</v>
      </c>
      <c r="B164" s="25" t="s">
        <v>110</v>
      </c>
      <c r="C164" s="25" t="s">
        <v>17</v>
      </c>
      <c r="D164" s="25" t="s">
        <v>35</v>
      </c>
      <c r="E164" s="25" t="s">
        <v>146</v>
      </c>
      <c r="F164" s="26">
        <v>63340</v>
      </c>
      <c r="G164" s="26">
        <v>65546</v>
      </c>
      <c r="H164" s="27">
        <f t="shared" si="8"/>
        <v>1</v>
      </c>
      <c r="I164" s="26">
        <f t="shared" si="9"/>
        <v>2206</v>
      </c>
      <c r="J164" s="25">
        <v>27</v>
      </c>
      <c r="K164" s="28" t="str">
        <f t="shared" si="10"/>
        <v>Achieved</v>
      </c>
      <c r="L164" s="28">
        <v>99</v>
      </c>
      <c r="M164" s="29" t="str">
        <f t="shared" si="11"/>
        <v>Good</v>
      </c>
      <c r="N164" s="25">
        <v>3</v>
      </c>
      <c r="O164" s="25">
        <v>3.6</v>
      </c>
    </row>
    <row r="165" spans="1:15">
      <c r="A165" s="25" t="s">
        <v>111</v>
      </c>
      <c r="B165" s="25" t="s">
        <v>112</v>
      </c>
      <c r="C165" s="25" t="s">
        <v>17</v>
      </c>
      <c r="D165" s="25" t="s">
        <v>42</v>
      </c>
      <c r="E165" s="25" t="s">
        <v>146</v>
      </c>
      <c r="F165" s="26">
        <v>46612</v>
      </c>
      <c r="G165" s="26">
        <v>49864</v>
      </c>
      <c r="H165" s="27">
        <f t="shared" si="8"/>
        <v>1</v>
      </c>
      <c r="I165" s="26">
        <f t="shared" si="9"/>
        <v>3252</v>
      </c>
      <c r="J165" s="25">
        <v>24</v>
      </c>
      <c r="K165" s="28" t="str">
        <f t="shared" si="10"/>
        <v>Achieved</v>
      </c>
      <c r="L165" s="28">
        <v>92.9</v>
      </c>
      <c r="M165" s="29" t="str">
        <f t="shared" si="11"/>
        <v>Good</v>
      </c>
      <c r="N165" s="25">
        <v>2</v>
      </c>
      <c r="O165" s="25">
        <v>3.2</v>
      </c>
    </row>
    <row r="166" spans="1:15">
      <c r="A166" s="25" t="s">
        <v>113</v>
      </c>
      <c r="B166" s="25" t="s">
        <v>114</v>
      </c>
      <c r="C166" s="25" t="s">
        <v>28</v>
      </c>
      <c r="D166" s="25" t="s">
        <v>18</v>
      </c>
      <c r="E166" s="25" t="s">
        <v>146</v>
      </c>
      <c r="F166" s="26">
        <v>43753</v>
      </c>
      <c r="G166" s="26">
        <v>38031</v>
      </c>
      <c r="H166" s="27">
        <f t="shared" si="8"/>
        <v>0.869220396315681</v>
      </c>
      <c r="I166" s="26">
        <f t="shared" si="9"/>
        <v>-5722</v>
      </c>
      <c r="J166" s="25">
        <v>19</v>
      </c>
      <c r="K166" s="28" t="str">
        <f t="shared" si="10"/>
        <v>Not Achieved</v>
      </c>
      <c r="L166" s="28">
        <v>91.2</v>
      </c>
      <c r="M166" s="29" t="str">
        <f t="shared" si="11"/>
        <v>Good</v>
      </c>
      <c r="N166" s="25">
        <v>2</v>
      </c>
      <c r="O166" s="25">
        <v>4.3</v>
      </c>
    </row>
    <row r="167" spans="1:15">
      <c r="A167" s="25" t="s">
        <v>115</v>
      </c>
      <c r="B167" s="25" t="s">
        <v>116</v>
      </c>
      <c r="C167" s="25" t="s">
        <v>31</v>
      </c>
      <c r="D167" s="25" t="s">
        <v>25</v>
      </c>
      <c r="E167" s="25" t="s">
        <v>146</v>
      </c>
      <c r="F167" s="26">
        <v>49702</v>
      </c>
      <c r="G167" s="26">
        <v>45206</v>
      </c>
      <c r="H167" s="27">
        <f t="shared" si="8"/>
        <v>0.909540863546739</v>
      </c>
      <c r="I167" s="26">
        <f t="shared" si="9"/>
        <v>-4496</v>
      </c>
      <c r="J167" s="25">
        <v>14</v>
      </c>
      <c r="K167" s="28" t="str">
        <f t="shared" si="10"/>
        <v>Not Achieved</v>
      </c>
      <c r="L167" s="28">
        <v>96.7</v>
      </c>
      <c r="M167" s="29" t="str">
        <f t="shared" si="11"/>
        <v>Good</v>
      </c>
      <c r="N167" s="25">
        <v>3</v>
      </c>
      <c r="O167" s="25">
        <v>4.3</v>
      </c>
    </row>
    <row r="168" spans="1:15">
      <c r="A168" s="25" t="s">
        <v>117</v>
      </c>
      <c r="B168" s="25" t="s">
        <v>118</v>
      </c>
      <c r="C168" s="25" t="s">
        <v>34</v>
      </c>
      <c r="D168" s="25" t="s">
        <v>35</v>
      </c>
      <c r="E168" s="25" t="s">
        <v>146</v>
      </c>
      <c r="F168" s="26">
        <v>53267</v>
      </c>
      <c r="G168" s="26">
        <v>53537</v>
      </c>
      <c r="H168" s="27">
        <f t="shared" si="8"/>
        <v>1</v>
      </c>
      <c r="I168" s="26">
        <f t="shared" si="9"/>
        <v>270</v>
      </c>
      <c r="J168" s="25">
        <v>23</v>
      </c>
      <c r="K168" s="28" t="str">
        <f t="shared" si="10"/>
        <v>Achieved</v>
      </c>
      <c r="L168" s="28">
        <v>93.5</v>
      </c>
      <c r="M168" s="29" t="str">
        <f t="shared" si="11"/>
        <v>Good</v>
      </c>
      <c r="N168" s="25">
        <v>2</v>
      </c>
      <c r="O168" s="25">
        <v>3.9</v>
      </c>
    </row>
    <row r="169" spans="1:15">
      <c r="A169" s="25" t="s">
        <v>119</v>
      </c>
      <c r="B169" s="25" t="s">
        <v>120</v>
      </c>
      <c r="C169" s="25" t="s">
        <v>17</v>
      </c>
      <c r="D169" s="25" t="s">
        <v>42</v>
      </c>
      <c r="E169" s="25" t="s">
        <v>146</v>
      </c>
      <c r="F169" s="26">
        <v>63451</v>
      </c>
      <c r="G169" s="26">
        <v>53098</v>
      </c>
      <c r="H169" s="27">
        <f t="shared" si="8"/>
        <v>0.836834722857008</v>
      </c>
      <c r="I169" s="26">
        <f t="shared" si="9"/>
        <v>-10353</v>
      </c>
      <c r="J169" s="25">
        <v>22</v>
      </c>
      <c r="K169" s="28" t="str">
        <f t="shared" si="10"/>
        <v>Not Achieved</v>
      </c>
      <c r="L169" s="28">
        <v>95.3</v>
      </c>
      <c r="M169" s="29" t="str">
        <f t="shared" si="11"/>
        <v>Good</v>
      </c>
      <c r="N169" s="25">
        <v>5</v>
      </c>
      <c r="O169" s="25">
        <v>3.8</v>
      </c>
    </row>
    <row r="170" spans="1:15">
      <c r="A170" s="25" t="s">
        <v>121</v>
      </c>
      <c r="B170" s="25" t="s">
        <v>122</v>
      </c>
      <c r="C170" s="25" t="s">
        <v>22</v>
      </c>
      <c r="D170" s="25" t="s">
        <v>18</v>
      </c>
      <c r="E170" s="25" t="s">
        <v>146</v>
      </c>
      <c r="F170" s="26">
        <v>49712</v>
      </c>
      <c r="G170" s="26">
        <v>51288</v>
      </c>
      <c r="H170" s="27">
        <f t="shared" si="8"/>
        <v>1</v>
      </c>
      <c r="I170" s="26">
        <f t="shared" si="9"/>
        <v>1576</v>
      </c>
      <c r="J170" s="25">
        <v>24</v>
      </c>
      <c r="K170" s="28" t="str">
        <f t="shared" si="10"/>
        <v>Achieved</v>
      </c>
      <c r="L170" s="28">
        <v>88.8</v>
      </c>
      <c r="M170" s="29" t="str">
        <f t="shared" si="11"/>
        <v>Low</v>
      </c>
      <c r="N170" s="25">
        <v>9</v>
      </c>
      <c r="O170" s="25">
        <v>3.6</v>
      </c>
    </row>
    <row r="171" spans="1:15">
      <c r="A171" s="25" t="s">
        <v>123</v>
      </c>
      <c r="B171" s="25" t="s">
        <v>124</v>
      </c>
      <c r="C171" s="25" t="s">
        <v>28</v>
      </c>
      <c r="D171" s="25" t="s">
        <v>25</v>
      </c>
      <c r="E171" s="25" t="s">
        <v>146</v>
      </c>
      <c r="F171" s="26">
        <v>47901</v>
      </c>
      <c r="G171" s="26">
        <v>48567</v>
      </c>
      <c r="H171" s="27">
        <f t="shared" si="8"/>
        <v>1</v>
      </c>
      <c r="I171" s="26">
        <f t="shared" si="9"/>
        <v>666</v>
      </c>
      <c r="J171" s="25">
        <v>18</v>
      </c>
      <c r="K171" s="28" t="str">
        <f t="shared" si="10"/>
        <v>Achieved</v>
      </c>
      <c r="L171" s="28">
        <v>95.6</v>
      </c>
      <c r="M171" s="29" t="str">
        <f t="shared" si="11"/>
        <v>Good</v>
      </c>
      <c r="N171" s="25">
        <v>1</v>
      </c>
      <c r="O171" s="25">
        <v>4.2</v>
      </c>
    </row>
    <row r="172" spans="1:15">
      <c r="A172" s="25" t="s">
        <v>125</v>
      </c>
      <c r="B172" s="25" t="s">
        <v>126</v>
      </c>
      <c r="C172" s="25" t="s">
        <v>31</v>
      </c>
      <c r="D172" s="25" t="s">
        <v>35</v>
      </c>
      <c r="E172" s="25" t="s">
        <v>146</v>
      </c>
      <c r="F172" s="26">
        <v>47302</v>
      </c>
      <c r="G172" s="26">
        <v>52625</v>
      </c>
      <c r="H172" s="27">
        <f t="shared" si="8"/>
        <v>1</v>
      </c>
      <c r="I172" s="26">
        <f t="shared" si="9"/>
        <v>5323</v>
      </c>
      <c r="J172" s="25">
        <v>26</v>
      </c>
      <c r="K172" s="28" t="str">
        <f t="shared" si="10"/>
        <v>Achieved</v>
      </c>
      <c r="L172" s="28">
        <v>90.6</v>
      </c>
      <c r="M172" s="29" t="str">
        <f t="shared" si="11"/>
        <v>Good</v>
      </c>
      <c r="N172" s="25">
        <v>1</v>
      </c>
      <c r="O172" s="25">
        <v>3.8</v>
      </c>
    </row>
    <row r="173" spans="1:15">
      <c r="A173" s="25" t="s">
        <v>127</v>
      </c>
      <c r="B173" s="25" t="s">
        <v>128</v>
      </c>
      <c r="C173" s="25" t="s">
        <v>34</v>
      </c>
      <c r="D173" s="25" t="s">
        <v>42</v>
      </c>
      <c r="E173" s="25" t="s">
        <v>146</v>
      </c>
      <c r="F173" s="26">
        <v>58456</v>
      </c>
      <c r="G173" s="26">
        <v>50027</v>
      </c>
      <c r="H173" s="27">
        <f t="shared" si="8"/>
        <v>0.855806076365129</v>
      </c>
      <c r="I173" s="26">
        <f t="shared" si="9"/>
        <v>-8429</v>
      </c>
      <c r="J173" s="25">
        <v>15</v>
      </c>
      <c r="K173" s="28" t="str">
        <f t="shared" si="10"/>
        <v>Not Achieved</v>
      </c>
      <c r="L173" s="28">
        <v>92.4</v>
      </c>
      <c r="M173" s="29" t="str">
        <f t="shared" si="11"/>
        <v>Good</v>
      </c>
      <c r="N173" s="25">
        <v>7</v>
      </c>
      <c r="O173" s="25">
        <v>4.1</v>
      </c>
    </row>
    <row r="174" spans="1:15">
      <c r="A174" s="25" t="s">
        <v>129</v>
      </c>
      <c r="B174" s="25" t="s">
        <v>130</v>
      </c>
      <c r="C174" s="25" t="s">
        <v>17</v>
      </c>
      <c r="D174" s="25" t="s">
        <v>18</v>
      </c>
      <c r="E174" s="25" t="s">
        <v>146</v>
      </c>
      <c r="F174" s="26">
        <v>65751</v>
      </c>
      <c r="G174" s="26">
        <v>69864</v>
      </c>
      <c r="H174" s="27">
        <f t="shared" si="8"/>
        <v>1</v>
      </c>
      <c r="I174" s="26">
        <f t="shared" si="9"/>
        <v>4113</v>
      </c>
      <c r="J174" s="25">
        <v>36</v>
      </c>
      <c r="K174" s="28" t="str">
        <f t="shared" si="10"/>
        <v>Achieved</v>
      </c>
      <c r="L174" s="28">
        <v>98</v>
      </c>
      <c r="M174" s="29" t="str">
        <f t="shared" si="11"/>
        <v>Good</v>
      </c>
      <c r="N174" s="25">
        <v>3</v>
      </c>
      <c r="O174" s="25">
        <v>3.2</v>
      </c>
    </row>
    <row r="175" spans="1:15">
      <c r="A175" s="25" t="s">
        <v>131</v>
      </c>
      <c r="B175" s="25" t="s">
        <v>132</v>
      </c>
      <c r="C175" s="25" t="s">
        <v>22</v>
      </c>
      <c r="D175" s="25" t="s">
        <v>25</v>
      </c>
      <c r="E175" s="25" t="s">
        <v>146</v>
      </c>
      <c r="F175" s="26">
        <v>49689</v>
      </c>
      <c r="G175" s="26">
        <v>53507</v>
      </c>
      <c r="H175" s="27">
        <f t="shared" si="8"/>
        <v>1</v>
      </c>
      <c r="I175" s="26">
        <f t="shared" si="9"/>
        <v>3818</v>
      </c>
      <c r="J175" s="25">
        <v>23</v>
      </c>
      <c r="K175" s="28" t="str">
        <f t="shared" si="10"/>
        <v>Achieved</v>
      </c>
      <c r="L175" s="28">
        <v>94.7</v>
      </c>
      <c r="M175" s="29" t="str">
        <f t="shared" si="11"/>
        <v>Good</v>
      </c>
      <c r="N175" s="25">
        <v>1</v>
      </c>
      <c r="O175" s="25">
        <v>4.6</v>
      </c>
    </row>
    <row r="176" spans="1:15">
      <c r="A176" s="25" t="s">
        <v>133</v>
      </c>
      <c r="B176" s="25" t="s">
        <v>134</v>
      </c>
      <c r="C176" s="25" t="s">
        <v>28</v>
      </c>
      <c r="D176" s="25" t="s">
        <v>35</v>
      </c>
      <c r="E176" s="25" t="s">
        <v>146</v>
      </c>
      <c r="F176" s="26">
        <v>53172</v>
      </c>
      <c r="G176" s="26">
        <v>44414</v>
      </c>
      <c r="H176" s="27">
        <f t="shared" si="8"/>
        <v>0.835289249981193</v>
      </c>
      <c r="I176" s="26">
        <f t="shared" si="9"/>
        <v>-8758</v>
      </c>
      <c r="J176" s="25">
        <v>14</v>
      </c>
      <c r="K176" s="28" t="str">
        <f t="shared" si="10"/>
        <v>Not Achieved</v>
      </c>
      <c r="L176" s="28">
        <v>95.5</v>
      </c>
      <c r="M176" s="29" t="str">
        <f t="shared" si="11"/>
        <v>Good</v>
      </c>
      <c r="N176" s="25">
        <v>4</v>
      </c>
      <c r="O176" s="25">
        <v>4.3</v>
      </c>
    </row>
    <row r="177" spans="1:15">
      <c r="A177" s="25" t="s">
        <v>135</v>
      </c>
      <c r="B177" s="25" t="s">
        <v>136</v>
      </c>
      <c r="C177" s="25" t="s">
        <v>31</v>
      </c>
      <c r="D177" s="25" t="s">
        <v>42</v>
      </c>
      <c r="E177" s="25" t="s">
        <v>146</v>
      </c>
      <c r="F177" s="26">
        <v>51280</v>
      </c>
      <c r="G177" s="26">
        <v>52168</v>
      </c>
      <c r="H177" s="27">
        <f t="shared" si="8"/>
        <v>1</v>
      </c>
      <c r="I177" s="26">
        <f t="shared" si="9"/>
        <v>888</v>
      </c>
      <c r="J177" s="25">
        <v>21</v>
      </c>
      <c r="K177" s="28" t="str">
        <f t="shared" si="10"/>
        <v>Achieved</v>
      </c>
      <c r="L177" s="28">
        <v>96.7</v>
      </c>
      <c r="M177" s="29" t="str">
        <f t="shared" si="11"/>
        <v>Good</v>
      </c>
      <c r="N177" s="25">
        <v>5</v>
      </c>
      <c r="O177" s="25">
        <v>4.2</v>
      </c>
    </row>
    <row r="178" spans="1:15">
      <c r="A178" s="25" t="s">
        <v>137</v>
      </c>
      <c r="B178" s="25" t="s">
        <v>138</v>
      </c>
      <c r="C178" s="25" t="s">
        <v>34</v>
      </c>
      <c r="D178" s="25" t="s">
        <v>18</v>
      </c>
      <c r="E178" s="25" t="s">
        <v>146</v>
      </c>
      <c r="F178" s="26">
        <v>49153</v>
      </c>
      <c r="G178" s="26">
        <v>37428</v>
      </c>
      <c r="H178" s="27">
        <f t="shared" si="8"/>
        <v>0.761459117449596</v>
      </c>
      <c r="I178" s="26">
        <f t="shared" si="9"/>
        <v>-11725</v>
      </c>
      <c r="J178" s="25">
        <v>15</v>
      </c>
      <c r="K178" s="28" t="str">
        <f t="shared" si="10"/>
        <v>Not Achieved</v>
      </c>
      <c r="L178" s="28">
        <v>91.6</v>
      </c>
      <c r="M178" s="29" t="str">
        <f t="shared" si="11"/>
        <v>Good</v>
      </c>
      <c r="N178" s="25">
        <v>2</v>
      </c>
      <c r="O178" s="25">
        <v>4.3</v>
      </c>
    </row>
    <row r="179" spans="1:15">
      <c r="A179" s="25" t="s">
        <v>139</v>
      </c>
      <c r="B179" s="25" t="s">
        <v>140</v>
      </c>
      <c r="C179" s="25" t="s">
        <v>17</v>
      </c>
      <c r="D179" s="25" t="s">
        <v>25</v>
      </c>
      <c r="E179" s="25" t="s">
        <v>146</v>
      </c>
      <c r="F179" s="26">
        <v>65886</v>
      </c>
      <c r="G179" s="26">
        <v>63786</v>
      </c>
      <c r="H179" s="27">
        <f t="shared" si="8"/>
        <v>0.968126764411256</v>
      </c>
      <c r="I179" s="26">
        <f t="shared" si="9"/>
        <v>-2100</v>
      </c>
      <c r="J179" s="25">
        <v>25</v>
      </c>
      <c r="K179" s="28" t="str">
        <f t="shared" si="10"/>
        <v>Not Achieved</v>
      </c>
      <c r="L179" s="28">
        <v>93.8</v>
      </c>
      <c r="M179" s="29" t="str">
        <f t="shared" si="11"/>
        <v>Good</v>
      </c>
      <c r="N179" s="25">
        <v>6</v>
      </c>
      <c r="O179" s="25">
        <v>3.7</v>
      </c>
    </row>
    <row r="180" spans="1:15">
      <c r="A180" s="25" t="s">
        <v>141</v>
      </c>
      <c r="B180" s="25" t="s">
        <v>142</v>
      </c>
      <c r="C180" s="25" t="s">
        <v>22</v>
      </c>
      <c r="D180" s="25" t="s">
        <v>35</v>
      </c>
      <c r="E180" s="25" t="s">
        <v>146</v>
      </c>
      <c r="F180" s="26">
        <v>49210</v>
      </c>
      <c r="G180" s="26">
        <v>56122</v>
      </c>
      <c r="H180" s="27">
        <f t="shared" si="8"/>
        <v>1</v>
      </c>
      <c r="I180" s="26">
        <f t="shared" si="9"/>
        <v>6912</v>
      </c>
      <c r="J180" s="25">
        <v>20</v>
      </c>
      <c r="K180" s="28" t="str">
        <f t="shared" si="10"/>
        <v>Achieved</v>
      </c>
      <c r="L180" s="28">
        <v>98.6</v>
      </c>
      <c r="M180" s="29" t="str">
        <f t="shared" si="11"/>
        <v>Good</v>
      </c>
      <c r="N180" s="25">
        <v>2</v>
      </c>
      <c r="O180" s="25">
        <v>5</v>
      </c>
    </row>
    <row r="181" spans="1:15">
      <c r="A181" s="25" t="s">
        <v>143</v>
      </c>
      <c r="B181" s="25" t="s">
        <v>144</v>
      </c>
      <c r="C181" s="25" t="s">
        <v>28</v>
      </c>
      <c r="D181" s="25" t="s">
        <v>42</v>
      </c>
      <c r="E181" s="25" t="s">
        <v>146</v>
      </c>
      <c r="F181" s="26">
        <v>56176</v>
      </c>
      <c r="G181" s="26">
        <v>43423</v>
      </c>
      <c r="H181" s="27">
        <f t="shared" si="8"/>
        <v>0.77298134434634</v>
      </c>
      <c r="I181" s="26">
        <f t="shared" si="9"/>
        <v>-12753</v>
      </c>
      <c r="J181" s="25">
        <v>22</v>
      </c>
      <c r="K181" s="28" t="str">
        <f t="shared" si="10"/>
        <v>Not Achieved</v>
      </c>
      <c r="L181" s="28">
        <v>89.5</v>
      </c>
      <c r="M181" s="29" t="str">
        <f t="shared" si="11"/>
        <v>Low</v>
      </c>
      <c r="N181" s="25">
        <v>7</v>
      </c>
      <c r="O181" s="25">
        <v>3.9</v>
      </c>
    </row>
  </sheetData>
  <conditionalFormatting sqref="N2:N181">
    <cfRule type="cellIs" dxfId="43" priority="2" operator="greaterThan">
      <formula>3</formula>
    </cfRule>
  </conditionalFormatting>
  <conditionalFormatting sqref="O2:O181">
    <cfRule type="cellIs" dxfId="44" priority="1" operator="between">
      <formula>4</formula>
      <formula>4.5</formula>
    </cfRule>
  </conditionalFormatting>
  <conditionalFormatting sqref="O162:O181">
    <cfRule type="cellIs" dxfId="45" priority="3" operator="greaterThan">
      <formula>4.5</formula>
    </cfRule>
  </conditionalFormatting>
  <conditionalFormatting sqref="L1:M181">
    <cfRule type="cellIs" dxfId="43" priority="4" operator="lessThan">
      <formula>90</formula>
    </cfRule>
  </conditionalFormatting>
  <dataValidations count="3">
    <dataValidation type="list" allowBlank="1" showInputMessage="1" showErrorMessage="1" sqref="C2:C181">
      <formula1>"Sales,Marketing,IT,Finance,HR"</formula1>
    </dataValidation>
    <dataValidation type="decimal" operator="between" allowBlank="1" showInputMessage="1" showErrorMessage="1" sqref="O2:O181">
      <formula1>1</formula1>
      <formula2>5</formula2>
    </dataValidation>
    <dataValidation type="decimal" operator="between" allowBlank="1" showInputMessage="1" showErrorMessage="1" sqref="K162:L181">
      <formula1>0</formula1>
      <formula2>100</formula2>
    </dataValidation>
  </dataValidations>
  <pageMargins left="0.75" right="0.75" top="1" bottom="1" header="0.5" footer="0.5"/>
  <headerFooter/>
  <ignoredErrors>
    <ignoredError sqref="O163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E11" sqref="E11"/>
    </sheetView>
  </sheetViews>
  <sheetFormatPr defaultColWidth="9.14285714285714" defaultRowHeight="15" outlineLevelCol="4"/>
  <cols>
    <col min="1" max="1" width="31.7142857142857" customWidth="1"/>
    <col min="2" max="2" width="11.4285714285714" customWidth="1"/>
    <col min="4" max="4" width="18.1428571428571" customWidth="1"/>
    <col min="5" max="5" width="21.2857142857143" customWidth="1"/>
  </cols>
  <sheetData>
    <row r="1" spans="1:5">
      <c r="A1" s="16" t="s">
        <v>147</v>
      </c>
      <c r="B1" s="17">
        <f>SUM(Raw_Data!F2:F181)</f>
        <v>9513819</v>
      </c>
      <c r="D1" s="16" t="s">
        <v>148</v>
      </c>
      <c r="E1" s="16" t="s">
        <v>149</v>
      </c>
    </row>
    <row r="2" spans="1:5">
      <c r="A2" s="16" t="s">
        <v>149</v>
      </c>
      <c r="B2" s="17">
        <f>SUM(Raw_Data!G2:G181)</f>
        <v>9097818</v>
      </c>
      <c r="D2" s="16" t="s">
        <v>34</v>
      </c>
      <c r="E2" s="17">
        <f>SUMIF(Raw_Data!C2:C181,D2,Raw_Data!G2:G181)</f>
        <v>1639561</v>
      </c>
    </row>
    <row r="3" spans="1:5">
      <c r="A3" s="16" t="s">
        <v>150</v>
      </c>
      <c r="B3" s="17">
        <f>AVERAGE(Raw_Data!G2:G181)</f>
        <v>50543.4333333333</v>
      </c>
      <c r="D3" s="16" t="s">
        <v>31</v>
      </c>
      <c r="E3" s="17">
        <f>SUMIF(Raw_Data!C2:C181,D3,Raw_Data!G2:G181)</f>
        <v>1493190</v>
      </c>
    </row>
    <row r="4" spans="1:5">
      <c r="A4" s="16" t="s">
        <v>151</v>
      </c>
      <c r="B4" s="18">
        <f>AVERAGE(Raw_Data!L2:L181)</f>
        <v>94.1422222222222</v>
      </c>
      <c r="D4" s="16" t="s">
        <v>28</v>
      </c>
      <c r="E4" s="17">
        <f>SUMIF(Raw_Data!C2:C181,D4,Raw_Data!G2:G181)</f>
        <v>1685349</v>
      </c>
    </row>
    <row r="5" spans="1:5">
      <c r="A5" s="16" t="s">
        <v>152</v>
      </c>
      <c r="B5" s="19">
        <f>AVERAGE(Raw_Data!O2:O181)</f>
        <v>4.07777777777777</v>
      </c>
      <c r="D5" s="16" t="s">
        <v>17</v>
      </c>
      <c r="E5" s="17">
        <f>SUMIF(Raw_Data!C2:C181,D5,Raw_Data!G2:G181)</f>
        <v>2531755</v>
      </c>
    </row>
    <row r="6" spans="1:5">
      <c r="A6" s="16" t="s">
        <v>153</v>
      </c>
      <c r="B6" s="20">
        <f>SUM(Raw_Data!J2:J181)</f>
        <v>3633</v>
      </c>
      <c r="D6" s="16" t="s">
        <v>22</v>
      </c>
      <c r="E6" s="17">
        <f>SUMIF(Raw_Data!C2:C181,D6,Raw_Data!G2:G181)</f>
        <v>1747963</v>
      </c>
    </row>
    <row r="7" spans="1:5">
      <c r="A7" s="16" t="s">
        <v>154</v>
      </c>
      <c r="B7" s="16">
        <f>SUM(Raw_Data!N2:N181)</f>
        <v>561</v>
      </c>
    </row>
    <row r="8" spans="1:5">
      <c r="A8" s="16" t="s">
        <v>155</v>
      </c>
      <c r="B8" s="17">
        <f>MAX(Raw_Data!G2:G181)</f>
        <v>74884</v>
      </c>
      <c r="D8" t="s">
        <v>156</v>
      </c>
    </row>
    <row r="9" spans="1:5">
      <c r="A9" s="16" t="s">
        <v>157</v>
      </c>
      <c r="B9" s="17">
        <f>MIN(Raw_Data!G2:G181)</f>
        <v>31420</v>
      </c>
      <c r="D9" s="16" t="s">
        <v>0</v>
      </c>
      <c r="E9" s="16" t="s">
        <v>81</v>
      </c>
    </row>
    <row r="10" spans="1:5">
      <c r="A10" s="16" t="s">
        <v>158</v>
      </c>
      <c r="B10" s="16">
        <f>COUNTA(Raw_Data!A2:A181)</f>
        <v>180</v>
      </c>
      <c r="D10" s="16" t="s">
        <v>159</v>
      </c>
      <c r="E10" s="16" t="str">
        <f>_xlfn.XLOOKUP(E9,Raw_Data!A2:A181,Raw_Data!B2:B181,"NOT FOUND")</f>
        <v>Rahul K</v>
      </c>
    </row>
    <row r="11" spans="1:5">
      <c r="A11" s="16" t="s">
        <v>160</v>
      </c>
      <c r="B11" s="16">
        <f>COUNTIF(Raw_Data!K2:K181,"Achieved")</f>
        <v>76</v>
      </c>
      <c r="D11" s="16" t="s">
        <v>2</v>
      </c>
      <c r="E11" s="16" t="str" cm="1">
        <f t="array" ref="E11">IFERROR(INDEX(Raw_Data!C2:C181,MATCH(E9,Raw_Data!A2:A181,0)),"NOT FOUND")</f>
        <v>Marketing</v>
      </c>
    </row>
    <row r="12" spans="1:5">
      <c r="A12" s="16" t="s">
        <v>161</v>
      </c>
      <c r="B12" s="16">
        <f>COUNTIF(Raw_Data!K2:K181,"Not Achieved")</f>
        <v>104</v>
      </c>
      <c r="D12" s="16" t="s">
        <v>6</v>
      </c>
      <c r="E12" s="17">
        <f>_xlfn.XLOOKUP(E9,Raw_Data!A2:A181,Raw_Data!G2:G181,"NOT FOUND")</f>
        <v>55610</v>
      </c>
    </row>
    <row r="13" spans="1:5">
      <c r="A13" s="16" t="s">
        <v>162</v>
      </c>
      <c r="B13" s="16">
        <f>COUNTIF(Raw_Data!M2:M181,"Good")</f>
        <v>159</v>
      </c>
      <c r="D13" s="16" t="s">
        <v>14</v>
      </c>
      <c r="E13" s="16" cm="1">
        <f t="array" ref="E13">IFERROR(INDEX(Raw_Data!O2:O181,MATCH(E9,Raw_Data!A2:A181,0)),"NOT FOUND")</f>
        <v>4.5</v>
      </c>
    </row>
    <row r="14" spans="1:5">
      <c r="A14" s="16" t="s">
        <v>163</v>
      </c>
      <c r="B14" s="16">
        <f>COUNTIF(Raw_Data!M2:M181,"Low")</f>
        <v>21</v>
      </c>
      <c r="D14" s="16" t="s">
        <v>164</v>
      </c>
      <c r="E14" s="16">
        <f>RANK(E12,Raw_Data!G2:G181,0)</f>
        <v>52</v>
      </c>
    </row>
    <row r="15" spans="1:5">
      <c r="A15" s="16" t="s">
        <v>165</v>
      </c>
      <c r="B15" s="21">
        <f>AVERAGE(Raw_Data!H2:H181)</f>
        <v>0.91779908418683</v>
      </c>
    </row>
    <row r="16" spans="1:5">
      <c r="A16" s="16" t="s">
        <v>166</v>
      </c>
      <c r="B16" s="17">
        <f>AVERAGE(Raw_Data!I2:I181)</f>
        <v>-2311.11666666667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zoomScale="102" zoomScaleNormal="102" workbookViewId="0">
      <selection activeCell="J14" sqref="J14"/>
    </sheetView>
  </sheetViews>
  <sheetFormatPr defaultColWidth="9.14285714285714" defaultRowHeight="15"/>
  <cols>
    <col min="1" max="1" width="19.8571428571429"/>
    <col min="2" max="2" width="12.5714285714286"/>
    <col min="3" max="3" width="25.5714285714286"/>
    <col min="4" max="4" width="19.8571428571429"/>
    <col min="5" max="5" width="16"/>
    <col min="6" max="6" width="10.5714285714286" customWidth="1"/>
    <col min="7" max="7" width="25.5714285714286"/>
    <col min="8" max="8" width="11.8571428571429"/>
    <col min="9" max="9" width="9.57142857142857" customWidth="1"/>
    <col min="10" max="10" width="19.8571428571429"/>
    <col min="11" max="11" width="13"/>
    <col min="12" max="13" width="21.7142857142857"/>
  </cols>
  <sheetData>
    <row r="1" spans="1:14">
      <c r="A1" s="1" t="s">
        <v>167</v>
      </c>
      <c r="D1" s="1" t="s">
        <v>168</v>
      </c>
      <c r="G1" s="1" t="s">
        <v>169</v>
      </c>
      <c r="J1" s="1" t="s">
        <v>170</v>
      </c>
    </row>
    <row r="3" spans="1:14">
      <c r="A3" s="2" t="s">
        <v>171</v>
      </c>
      <c r="B3" s="3"/>
      <c r="D3" s="2" t="s">
        <v>172</v>
      </c>
      <c r="E3" s="3"/>
      <c r="G3" s="2" t="s">
        <v>173</v>
      </c>
      <c r="H3" s="3"/>
      <c r="J3" s="2" t="s">
        <v>171</v>
      </c>
      <c r="K3" s="3"/>
    </row>
    <row r="4" spans="1:14">
      <c r="A4" s="2" t="s">
        <v>2</v>
      </c>
      <c r="B4" s="4" t="s">
        <v>174</v>
      </c>
      <c r="D4" s="2" t="s">
        <v>2</v>
      </c>
      <c r="E4" s="4" t="s">
        <v>174</v>
      </c>
      <c r="G4" s="2" t="s">
        <v>2</v>
      </c>
      <c r="H4" s="4" t="s">
        <v>174</v>
      </c>
      <c r="J4" s="2" t="s">
        <v>4</v>
      </c>
      <c r="K4" s="4" t="s">
        <v>174</v>
      </c>
      <c r="N4" s="5"/>
    </row>
    <row r="5" spans="1:14">
      <c r="A5" s="2" t="s">
        <v>17</v>
      </c>
      <c r="B5" s="6">
        <v>2531755</v>
      </c>
      <c r="D5" s="2" t="s">
        <v>34</v>
      </c>
      <c r="E5" s="3">
        <v>0.90018846733892</v>
      </c>
      <c r="G5" s="2" t="s">
        <v>34</v>
      </c>
      <c r="H5" s="7">
        <v>93.9666666666667</v>
      </c>
      <c r="J5" s="2" t="s">
        <v>19</v>
      </c>
      <c r="K5" s="6">
        <v>2963291</v>
      </c>
    </row>
    <row r="6" spans="1:14">
      <c r="A6" s="8" t="s">
        <v>22</v>
      </c>
      <c r="B6" s="9">
        <v>1747963</v>
      </c>
      <c r="D6" s="8" t="s">
        <v>31</v>
      </c>
      <c r="E6" s="10">
        <v>0.905982213504434</v>
      </c>
      <c r="G6" s="8" t="s">
        <v>31</v>
      </c>
      <c r="H6" s="11">
        <v>93.8333333333333</v>
      </c>
      <c r="J6" s="8" t="s">
        <v>145</v>
      </c>
      <c r="K6" s="9">
        <v>3079847</v>
      </c>
    </row>
    <row r="7" spans="1:14">
      <c r="A7" s="8" t="s">
        <v>28</v>
      </c>
      <c r="B7" s="9">
        <v>1685349</v>
      </c>
      <c r="D7" s="8" t="s">
        <v>28</v>
      </c>
      <c r="E7" s="10">
        <v>0.906857368232256</v>
      </c>
      <c r="G7" s="8" t="s">
        <v>28</v>
      </c>
      <c r="H7" s="11">
        <v>94.5055555555555</v>
      </c>
      <c r="J7" s="8" t="s">
        <v>146</v>
      </c>
      <c r="K7" s="9">
        <v>3054680</v>
      </c>
    </row>
    <row r="8" spans="1:14">
      <c r="A8" s="8" t="s">
        <v>34</v>
      </c>
      <c r="B8" s="9">
        <v>1639561</v>
      </c>
      <c r="D8" s="8" t="s">
        <v>17</v>
      </c>
      <c r="E8" s="10">
        <v>0.932648402346616</v>
      </c>
      <c r="G8" s="8" t="s">
        <v>22</v>
      </c>
      <c r="H8" s="11">
        <v>94.58</v>
      </c>
      <c r="J8" s="12" t="s">
        <v>174</v>
      </c>
      <c r="K8" s="13">
        <v>9097818</v>
      </c>
    </row>
    <row r="9" spans="1:14">
      <c r="A9" s="8" t="s">
        <v>31</v>
      </c>
      <c r="B9" s="9">
        <v>1493190</v>
      </c>
      <c r="D9" s="8" t="s">
        <v>22</v>
      </c>
      <c r="E9" s="10">
        <v>0.938555889386661</v>
      </c>
      <c r="G9" s="8" t="s">
        <v>17</v>
      </c>
      <c r="H9" s="11">
        <v>93.853488372093</v>
      </c>
    </row>
    <row r="10" spans="1:14">
      <c r="A10" s="12" t="s">
        <v>174</v>
      </c>
      <c r="B10" s="13">
        <v>9097818</v>
      </c>
      <c r="D10" s="12" t="s">
        <v>174</v>
      </c>
      <c r="E10" s="14">
        <v>0.917799084186831</v>
      </c>
      <c r="G10" s="12" t="s">
        <v>174</v>
      </c>
      <c r="H10" s="15">
        <v>94.1422222222222</v>
      </c>
    </row>
    <row r="12" spans="1:14">
      <c r="A12" s="2" t="s">
        <v>171</v>
      </c>
      <c r="B12" s="3"/>
    </row>
    <row r="13" spans="1:14">
      <c r="A13" s="2" t="s">
        <v>1</v>
      </c>
      <c r="B13" s="4" t="s">
        <v>174</v>
      </c>
      <c r="D13" s="2" t="s">
        <v>171</v>
      </c>
      <c r="E13" s="3"/>
    </row>
    <row r="14" spans="1:14">
      <c r="A14" s="2" t="s">
        <v>58</v>
      </c>
      <c r="B14" s="6">
        <v>173154</v>
      </c>
      <c r="D14" s="2" t="s">
        <v>3</v>
      </c>
      <c r="E14" s="4" t="s">
        <v>174</v>
      </c>
    </row>
    <row r="15" spans="1:14">
      <c r="A15" s="8" t="s">
        <v>50</v>
      </c>
      <c r="B15" s="9">
        <v>176263</v>
      </c>
      <c r="D15" s="2" t="s">
        <v>25</v>
      </c>
      <c r="E15" s="6">
        <v>2181533</v>
      </c>
    </row>
    <row r="16" spans="1:14">
      <c r="A16" s="8" t="s">
        <v>140</v>
      </c>
      <c r="B16" s="9">
        <v>177925</v>
      </c>
      <c r="D16" s="8" t="s">
        <v>18</v>
      </c>
      <c r="E16" s="9">
        <v>2636839</v>
      </c>
    </row>
    <row r="17" spans="1:5">
      <c r="A17" s="8" t="s">
        <v>37</v>
      </c>
      <c r="B17" s="9">
        <v>179010</v>
      </c>
      <c r="D17" s="8" t="s">
        <v>35</v>
      </c>
      <c r="E17" s="9">
        <v>2275725</v>
      </c>
    </row>
    <row r="18" spans="1:5">
      <c r="A18" s="8" t="s">
        <v>16</v>
      </c>
      <c r="B18" s="9">
        <v>179279</v>
      </c>
      <c r="D18" s="8" t="s">
        <v>42</v>
      </c>
      <c r="E18" s="9">
        <v>2003721</v>
      </c>
    </row>
    <row r="19" spans="1:5">
      <c r="A19" s="8" t="s">
        <v>130</v>
      </c>
      <c r="B19" s="9">
        <v>182732</v>
      </c>
      <c r="D19" s="12" t="s">
        <v>174</v>
      </c>
      <c r="E19" s="13">
        <v>9097818</v>
      </c>
    </row>
    <row r="20" spans="1:5">
      <c r="A20" s="8" t="s">
        <v>48</v>
      </c>
      <c r="B20" s="9">
        <v>183407</v>
      </c>
    </row>
    <row r="21" spans="1:5">
      <c r="A21" s="8" t="s">
        <v>60</v>
      </c>
      <c r="B21" s="9">
        <v>192163</v>
      </c>
    </row>
    <row r="22" spans="1:5">
      <c r="A22" s="8" t="s">
        <v>100</v>
      </c>
      <c r="B22" s="9">
        <v>195009</v>
      </c>
    </row>
    <row r="23" spans="1:5">
      <c r="A23" s="8" t="s">
        <v>110</v>
      </c>
      <c r="B23" s="9">
        <v>200233</v>
      </c>
    </row>
    <row r="24" spans="1:5">
      <c r="A24" s="12" t="s">
        <v>174</v>
      </c>
      <c r="B24" s="13">
        <v>1839175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showGridLines="0" showRowColHeaders="0" tabSelected="1" zoomScale="73" zoomScaleNormal="73" workbookViewId="0">
      <selection activeCell="AH36" sqref="AH36"/>
    </sheetView>
  </sheetViews>
  <sheetFormatPr defaultColWidth="9.14285714285714" defaultRowHeight="15"/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Raw_Data</vt:lpstr>
      <vt:lpstr>Data Analysis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WPS_1781634818</cp:lastModifiedBy>
  <dcterms:created xsi:type="dcterms:W3CDTF">2026-10-02T18:06:00Z</dcterms:created>
  <dcterms:modified xsi:type="dcterms:W3CDTF">2026-10-05T11:00:19Z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43B3A0C74ABE4EDE8C9791768497623E_13</vt:lpwstr>
  </property>
</Properties>
</file>